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ower BI Projects\Marketing\Source\"/>
    </mc:Choice>
  </mc:AlternateContent>
  <bookViews>
    <workbookView xWindow="0" yWindow="0" windowWidth="19200" windowHeight="7190" activeTab="1"/>
  </bookViews>
  <sheets>
    <sheet name="Interactions" sheetId="1" r:id="rId1"/>
    <sheet name="Campaigns" sheetId="2" r:id="rId2"/>
    <sheet name="Customers" sheetId="3" r:id="rId3"/>
    <sheet name="DimDate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</calcChain>
</file>

<file path=xl/sharedStrings.xml><?xml version="1.0" encoding="utf-8"?>
<sst xmlns="http://schemas.openxmlformats.org/spreadsheetml/2006/main" count="2539" uniqueCount="956">
  <si>
    <t>InteractionID</t>
  </si>
  <si>
    <t>CampaignID</t>
  </si>
  <si>
    <t>CustomerID</t>
  </si>
  <si>
    <t>InteractionDate</t>
  </si>
  <si>
    <t>Impressions</t>
  </si>
  <si>
    <t>Clicks</t>
  </si>
  <si>
    <t>Conversions</t>
  </si>
  <si>
    <t>Cost</t>
  </si>
  <si>
    <t>INT001</t>
  </si>
  <si>
    <t>CMP003</t>
  </si>
  <si>
    <t>C016</t>
  </si>
  <si>
    <t>INT002</t>
  </si>
  <si>
    <t>C060</t>
  </si>
  <si>
    <t>INT003</t>
  </si>
  <si>
    <t>C004</t>
  </si>
  <si>
    <t>INT004</t>
  </si>
  <si>
    <t>C158</t>
  </si>
  <si>
    <t>INT005</t>
  </si>
  <si>
    <t>CMP001</t>
  </si>
  <si>
    <t>C169</t>
  </si>
  <si>
    <t>INT006</t>
  </si>
  <si>
    <t>CMP002</t>
  </si>
  <si>
    <t>C049</t>
  </si>
  <si>
    <t>INT007</t>
  </si>
  <si>
    <t>CMP005</t>
  </si>
  <si>
    <t>C095</t>
  </si>
  <si>
    <t>INT008</t>
  </si>
  <si>
    <t>INT009</t>
  </si>
  <si>
    <t>C073</t>
  </si>
  <si>
    <t>INT010</t>
  </si>
  <si>
    <t>C052</t>
  </si>
  <si>
    <t>INT011</t>
  </si>
  <si>
    <t>CMP004</t>
  </si>
  <si>
    <t>C110</t>
  </si>
  <si>
    <t>INT012</t>
  </si>
  <si>
    <t>C058</t>
  </si>
  <si>
    <t>INT013</t>
  </si>
  <si>
    <t>C039</t>
  </si>
  <si>
    <t>INT014</t>
  </si>
  <si>
    <t>C195</t>
  </si>
  <si>
    <t>INT015</t>
  </si>
  <si>
    <t>C200</t>
  </si>
  <si>
    <t>INT016</t>
  </si>
  <si>
    <t>C032</t>
  </si>
  <si>
    <t>INT017</t>
  </si>
  <si>
    <t>C092</t>
  </si>
  <si>
    <t>INT018</t>
  </si>
  <si>
    <t>INT019</t>
  </si>
  <si>
    <t>INT020</t>
  </si>
  <si>
    <t>C107</t>
  </si>
  <si>
    <t>INT021</t>
  </si>
  <si>
    <t>C192</t>
  </si>
  <si>
    <t>INT022</t>
  </si>
  <si>
    <t>INT023</t>
  </si>
  <si>
    <t>C063</t>
  </si>
  <si>
    <t>INT024</t>
  </si>
  <si>
    <t>C031</t>
  </si>
  <si>
    <t>INT025</t>
  </si>
  <si>
    <t>C160</t>
  </si>
  <si>
    <t>INT026</t>
  </si>
  <si>
    <t>C013</t>
  </si>
  <si>
    <t>INT027</t>
  </si>
  <si>
    <t>C121</t>
  </si>
  <si>
    <t>INT028</t>
  </si>
  <si>
    <t>C119</t>
  </si>
  <si>
    <t>INT029</t>
  </si>
  <si>
    <t>C082</t>
  </si>
  <si>
    <t>INT030</t>
  </si>
  <si>
    <t>C098</t>
  </si>
  <si>
    <t>INT031</t>
  </si>
  <si>
    <t>C153</t>
  </si>
  <si>
    <t>INT032</t>
  </si>
  <si>
    <t>C084</t>
  </si>
  <si>
    <t>INT033</t>
  </si>
  <si>
    <t>C102</t>
  </si>
  <si>
    <t>INT034</t>
  </si>
  <si>
    <t>INT035</t>
  </si>
  <si>
    <t>C115</t>
  </si>
  <si>
    <t>INT036</t>
  </si>
  <si>
    <t>C017</t>
  </si>
  <si>
    <t>INT037</t>
  </si>
  <si>
    <t>C198</t>
  </si>
  <si>
    <t>INT038</t>
  </si>
  <si>
    <t>C023</t>
  </si>
  <si>
    <t>INT039</t>
  </si>
  <si>
    <t>C146</t>
  </si>
  <si>
    <t>INT040</t>
  </si>
  <si>
    <t>INT041</t>
  </si>
  <si>
    <t>C030</t>
  </si>
  <si>
    <t>INT042</t>
  </si>
  <si>
    <t>C093</t>
  </si>
  <si>
    <t>INT043</t>
  </si>
  <si>
    <t>C161</t>
  </si>
  <si>
    <t>INT044</t>
  </si>
  <si>
    <t>C059</t>
  </si>
  <si>
    <t>INT045</t>
  </si>
  <si>
    <t>C020</t>
  </si>
  <si>
    <t>INT046</t>
  </si>
  <si>
    <t>C083</t>
  </si>
  <si>
    <t>INT047</t>
  </si>
  <si>
    <t>C186</t>
  </si>
  <si>
    <t>INT048</t>
  </si>
  <si>
    <t>C043</t>
  </si>
  <si>
    <t>INT049</t>
  </si>
  <si>
    <t>INT050</t>
  </si>
  <si>
    <t>C127</t>
  </si>
  <si>
    <t>INT051</t>
  </si>
  <si>
    <t>INT052</t>
  </si>
  <si>
    <t>C159</t>
  </si>
  <si>
    <t>INT053</t>
  </si>
  <si>
    <t>C025</t>
  </si>
  <si>
    <t>INT054</t>
  </si>
  <si>
    <t>C173</t>
  </si>
  <si>
    <t>INT055</t>
  </si>
  <si>
    <t>C109</t>
  </si>
  <si>
    <t>INT056</t>
  </si>
  <si>
    <t>INT057</t>
  </si>
  <si>
    <t>INT058</t>
  </si>
  <si>
    <t>C037</t>
  </si>
  <si>
    <t>INT059</t>
  </si>
  <si>
    <t>C045</t>
  </si>
  <si>
    <t>INT060</t>
  </si>
  <si>
    <t>C044</t>
  </si>
  <si>
    <t>INT061</t>
  </si>
  <si>
    <t>C057</t>
  </si>
  <si>
    <t>INT062</t>
  </si>
  <si>
    <t>INT063</t>
  </si>
  <si>
    <t>C085</t>
  </si>
  <si>
    <t>INT064</t>
  </si>
  <si>
    <t>C103</t>
  </si>
  <si>
    <t>INT065</t>
  </si>
  <si>
    <t>C182</t>
  </si>
  <si>
    <t>INT066</t>
  </si>
  <si>
    <t>C064</t>
  </si>
  <si>
    <t>INT067</t>
  </si>
  <si>
    <t>C168</t>
  </si>
  <si>
    <t>INT068</t>
  </si>
  <si>
    <t>C072</t>
  </si>
  <si>
    <t>INT069</t>
  </si>
  <si>
    <t>INT070</t>
  </si>
  <si>
    <t>C010</t>
  </si>
  <si>
    <t>INT071</t>
  </si>
  <si>
    <t>INT072</t>
  </si>
  <si>
    <t>INT073</t>
  </si>
  <si>
    <t>INT074</t>
  </si>
  <si>
    <t>C150</t>
  </si>
  <si>
    <t>INT075</t>
  </si>
  <si>
    <t>C108</t>
  </si>
  <si>
    <t>INT076</t>
  </si>
  <si>
    <t>C081</t>
  </si>
  <si>
    <t>INT077</t>
  </si>
  <si>
    <t>C179</t>
  </si>
  <si>
    <t>INT078</t>
  </si>
  <si>
    <t>C047</t>
  </si>
  <si>
    <t>INT079</t>
  </si>
  <si>
    <t>C002</t>
  </si>
  <si>
    <t>INT080</t>
  </si>
  <si>
    <t>INT081</t>
  </si>
  <si>
    <t>INT082</t>
  </si>
  <si>
    <t>C144</t>
  </si>
  <si>
    <t>INT083</t>
  </si>
  <si>
    <t>INT084</t>
  </si>
  <si>
    <t>INT085</t>
  </si>
  <si>
    <t>C184</t>
  </si>
  <si>
    <t>INT086</t>
  </si>
  <si>
    <t>C196</t>
  </si>
  <si>
    <t>INT087</t>
  </si>
  <si>
    <t>INT088</t>
  </si>
  <si>
    <t>C028</t>
  </si>
  <si>
    <t>INT089</t>
  </si>
  <si>
    <t>C033</t>
  </si>
  <si>
    <t>INT090</t>
  </si>
  <si>
    <t>C141</t>
  </si>
  <si>
    <t>INT091</t>
  </si>
  <si>
    <t>C124</t>
  </si>
  <si>
    <t>INT092</t>
  </si>
  <si>
    <t>INT093</t>
  </si>
  <si>
    <t>C078</t>
  </si>
  <si>
    <t>INT094</t>
  </si>
  <si>
    <t>C066</t>
  </si>
  <si>
    <t>INT095</t>
  </si>
  <si>
    <t>INT096</t>
  </si>
  <si>
    <t>INT097</t>
  </si>
  <si>
    <t>INT098</t>
  </si>
  <si>
    <t>C036</t>
  </si>
  <si>
    <t>INT099</t>
  </si>
  <si>
    <t>INT100</t>
  </si>
  <si>
    <t>C139</t>
  </si>
  <si>
    <t>INT101</t>
  </si>
  <si>
    <t>INT102</t>
  </si>
  <si>
    <t>C148</t>
  </si>
  <si>
    <t>INT103</t>
  </si>
  <si>
    <t>C142</t>
  </si>
  <si>
    <t>INT104</t>
  </si>
  <si>
    <t>C176</t>
  </si>
  <si>
    <t>INT105</t>
  </si>
  <si>
    <t>INT106</t>
  </si>
  <si>
    <t>C104</t>
  </si>
  <si>
    <t>INT107</t>
  </si>
  <si>
    <t>C106</t>
  </si>
  <si>
    <t>INT108</t>
  </si>
  <si>
    <t>INT109</t>
  </si>
  <si>
    <t>C151</t>
  </si>
  <si>
    <t>INT110</t>
  </si>
  <si>
    <t>INT111</t>
  </si>
  <si>
    <t>INT112</t>
  </si>
  <si>
    <t>C041</t>
  </si>
  <si>
    <t>INT113</t>
  </si>
  <si>
    <t>C055</t>
  </si>
  <si>
    <t>INT114</t>
  </si>
  <si>
    <t>INT115</t>
  </si>
  <si>
    <t>INT116</t>
  </si>
  <si>
    <t>C185</t>
  </si>
  <si>
    <t>INT117</t>
  </si>
  <si>
    <t>INT118</t>
  </si>
  <si>
    <t>C019</t>
  </si>
  <si>
    <t>INT119</t>
  </si>
  <si>
    <t>C128</t>
  </si>
  <si>
    <t>INT120</t>
  </si>
  <si>
    <t>C101</t>
  </si>
  <si>
    <t>INT121</t>
  </si>
  <si>
    <t>C012</t>
  </si>
  <si>
    <t>INT122</t>
  </si>
  <si>
    <t>INT123</t>
  </si>
  <si>
    <t>INT124</t>
  </si>
  <si>
    <t>C162</t>
  </si>
  <si>
    <t>INT125</t>
  </si>
  <si>
    <t>C175</t>
  </si>
  <si>
    <t>INT126</t>
  </si>
  <si>
    <t>INT127</t>
  </si>
  <si>
    <t>C026</t>
  </si>
  <si>
    <t>INT128</t>
  </si>
  <si>
    <t>INT129</t>
  </si>
  <si>
    <t>INT130</t>
  </si>
  <si>
    <t>C134</t>
  </si>
  <si>
    <t>INT131</t>
  </si>
  <si>
    <t>INT132</t>
  </si>
  <si>
    <t>C079</t>
  </si>
  <si>
    <t>INT133</t>
  </si>
  <si>
    <t>INT134</t>
  </si>
  <si>
    <t>INT135</t>
  </si>
  <si>
    <t>C091</t>
  </si>
  <si>
    <t>INT136</t>
  </si>
  <si>
    <t>INT137</t>
  </si>
  <si>
    <t>C008</t>
  </si>
  <si>
    <t>INT138</t>
  </si>
  <si>
    <t>C174</t>
  </si>
  <si>
    <t>INT139</t>
  </si>
  <si>
    <t>INT140</t>
  </si>
  <si>
    <t>C194</t>
  </si>
  <si>
    <t>INT141</t>
  </si>
  <si>
    <t>INT142</t>
  </si>
  <si>
    <t>INT143</t>
  </si>
  <si>
    <t>C051</t>
  </si>
  <si>
    <t>INT144</t>
  </si>
  <si>
    <t>INT145</t>
  </si>
  <si>
    <t>INT146</t>
  </si>
  <si>
    <t>INT147</t>
  </si>
  <si>
    <t>INT148</t>
  </si>
  <si>
    <t>INT149</t>
  </si>
  <si>
    <t>C062</t>
  </si>
  <si>
    <t>INT150</t>
  </si>
  <si>
    <t>C136</t>
  </si>
  <si>
    <t>INT151</t>
  </si>
  <si>
    <t>INT152</t>
  </si>
  <si>
    <t>C029</t>
  </si>
  <si>
    <t>INT153</t>
  </si>
  <si>
    <t>INT154</t>
  </si>
  <si>
    <t>C042</t>
  </si>
  <si>
    <t>INT155</t>
  </si>
  <si>
    <t>INT156</t>
  </si>
  <si>
    <t>C067</t>
  </si>
  <si>
    <t>INT157</t>
  </si>
  <si>
    <t>C189</t>
  </si>
  <si>
    <t>INT158</t>
  </si>
  <si>
    <t>C191</t>
  </si>
  <si>
    <t>INT159</t>
  </si>
  <si>
    <t>INT160</t>
  </si>
  <si>
    <t>INT161</t>
  </si>
  <si>
    <t>C071</t>
  </si>
  <si>
    <t>INT162</t>
  </si>
  <si>
    <t>INT163</t>
  </si>
  <si>
    <t>INT164</t>
  </si>
  <si>
    <t>C133</t>
  </si>
  <si>
    <t>INT165</t>
  </si>
  <si>
    <t>C152</t>
  </si>
  <si>
    <t>INT166</t>
  </si>
  <si>
    <t>INT167</t>
  </si>
  <si>
    <t>INT168</t>
  </si>
  <si>
    <t>INT169</t>
  </si>
  <si>
    <t>C027</t>
  </si>
  <si>
    <t>INT170</t>
  </si>
  <si>
    <t>C112</t>
  </si>
  <si>
    <t>INT171</t>
  </si>
  <si>
    <t>C154</t>
  </si>
  <si>
    <t>INT172</t>
  </si>
  <si>
    <t>C089</t>
  </si>
  <si>
    <t>INT173</t>
  </si>
  <si>
    <t>INT174</t>
  </si>
  <si>
    <t>C178</t>
  </si>
  <si>
    <t>INT175</t>
  </si>
  <si>
    <t>C075</t>
  </si>
  <si>
    <t>INT176</t>
  </si>
  <si>
    <t>C132</t>
  </si>
  <si>
    <t>INT177</t>
  </si>
  <si>
    <t>C111</t>
  </si>
  <si>
    <t>INT178</t>
  </si>
  <si>
    <t>C007</t>
  </si>
  <si>
    <t>INT179</t>
  </si>
  <si>
    <t>C074</t>
  </si>
  <si>
    <t>INT180</t>
  </si>
  <si>
    <t>INT181</t>
  </si>
  <si>
    <t>C088</t>
  </si>
  <si>
    <t>INT182</t>
  </si>
  <si>
    <t>C105</t>
  </si>
  <si>
    <t>INT183</t>
  </si>
  <si>
    <t>INT184</t>
  </si>
  <si>
    <t>C131</t>
  </si>
  <si>
    <t>INT185</t>
  </si>
  <si>
    <t>INT186</t>
  </si>
  <si>
    <t>INT187</t>
  </si>
  <si>
    <t>INT188</t>
  </si>
  <si>
    <t>C143</t>
  </si>
  <si>
    <t>INT189</t>
  </si>
  <si>
    <t>C183</t>
  </si>
  <si>
    <t>INT190</t>
  </si>
  <si>
    <t>INT191</t>
  </si>
  <si>
    <t>INT192</t>
  </si>
  <si>
    <t>INT193</t>
  </si>
  <si>
    <t>INT194</t>
  </si>
  <si>
    <t>INT195</t>
  </si>
  <si>
    <t>C003</t>
  </si>
  <si>
    <t>INT196</t>
  </si>
  <si>
    <t>INT197</t>
  </si>
  <si>
    <t>INT198</t>
  </si>
  <si>
    <t>C117</t>
  </si>
  <si>
    <t>INT199</t>
  </si>
  <si>
    <t>INT200</t>
  </si>
  <si>
    <t>C118</t>
  </si>
  <si>
    <t>INT201</t>
  </si>
  <si>
    <t>INT202</t>
  </si>
  <si>
    <t>INT203</t>
  </si>
  <si>
    <t>INT204</t>
  </si>
  <si>
    <t>INT205</t>
  </si>
  <si>
    <t>C187</t>
  </si>
  <si>
    <t>INT206</t>
  </si>
  <si>
    <t>C053</t>
  </si>
  <si>
    <t>INT207</t>
  </si>
  <si>
    <t>INT208</t>
  </si>
  <si>
    <t>INT209</t>
  </si>
  <si>
    <t>INT210</t>
  </si>
  <si>
    <t>INT211</t>
  </si>
  <si>
    <t>C166</t>
  </si>
  <si>
    <t>INT212</t>
  </si>
  <si>
    <t>INT213</t>
  </si>
  <si>
    <t>INT214</t>
  </si>
  <si>
    <t>INT215</t>
  </si>
  <si>
    <t>INT216</t>
  </si>
  <si>
    <t>INT217</t>
  </si>
  <si>
    <t>INT218</t>
  </si>
  <si>
    <t>C116</t>
  </si>
  <si>
    <t>INT219</t>
  </si>
  <si>
    <t>C197</t>
  </si>
  <si>
    <t>INT220</t>
  </si>
  <si>
    <t>INT221</t>
  </si>
  <si>
    <t>INT222</t>
  </si>
  <si>
    <t>INT223</t>
  </si>
  <si>
    <t>C069</t>
  </si>
  <si>
    <t>INT224</t>
  </si>
  <si>
    <t>C190</t>
  </si>
  <si>
    <t>INT225</t>
  </si>
  <si>
    <t>INT226</t>
  </si>
  <si>
    <t>C147</t>
  </si>
  <si>
    <t>INT227</t>
  </si>
  <si>
    <t>INT228</t>
  </si>
  <si>
    <t>INT229</t>
  </si>
  <si>
    <t>INT230</t>
  </si>
  <si>
    <t>INT231</t>
  </si>
  <si>
    <t>INT232</t>
  </si>
  <si>
    <t>INT233</t>
  </si>
  <si>
    <t>C177</t>
  </si>
  <si>
    <t>INT234</t>
  </si>
  <si>
    <t>C076</t>
  </si>
  <si>
    <t>INT235</t>
  </si>
  <si>
    <t>INT236</t>
  </si>
  <si>
    <t>INT237</t>
  </si>
  <si>
    <t>INT238</t>
  </si>
  <si>
    <t>C070</t>
  </si>
  <si>
    <t>INT239</t>
  </si>
  <si>
    <t>INT240</t>
  </si>
  <si>
    <t>INT241</t>
  </si>
  <si>
    <t>INT242</t>
  </si>
  <si>
    <t>INT243</t>
  </si>
  <si>
    <t>INT244</t>
  </si>
  <si>
    <t>C129</t>
  </si>
  <si>
    <t>INT245</t>
  </si>
  <si>
    <t>INT246</t>
  </si>
  <si>
    <t>C126</t>
  </si>
  <si>
    <t>INT247</t>
  </si>
  <si>
    <t>INT248</t>
  </si>
  <si>
    <t>INT249</t>
  </si>
  <si>
    <t>INT250</t>
  </si>
  <si>
    <t>INT251</t>
  </si>
  <si>
    <t>INT252</t>
  </si>
  <si>
    <t>INT253</t>
  </si>
  <si>
    <t>INT254</t>
  </si>
  <si>
    <t>C065</t>
  </si>
  <si>
    <t>INT255</t>
  </si>
  <si>
    <t>INT256</t>
  </si>
  <si>
    <t>INT257</t>
  </si>
  <si>
    <t>C046</t>
  </si>
  <si>
    <t>INT258</t>
  </si>
  <si>
    <t>C014</t>
  </si>
  <si>
    <t>INT259</t>
  </si>
  <si>
    <t>INT260</t>
  </si>
  <si>
    <t>INT261</t>
  </si>
  <si>
    <t>INT262</t>
  </si>
  <si>
    <t>INT263</t>
  </si>
  <si>
    <t>INT264</t>
  </si>
  <si>
    <t>INT265</t>
  </si>
  <si>
    <t>INT266</t>
  </si>
  <si>
    <t>INT267</t>
  </si>
  <si>
    <t>C137</t>
  </si>
  <si>
    <t>INT268</t>
  </si>
  <si>
    <t>C122</t>
  </si>
  <si>
    <t>INT269</t>
  </si>
  <si>
    <t>INT270</t>
  </si>
  <si>
    <t>INT271</t>
  </si>
  <si>
    <t>INT272</t>
  </si>
  <si>
    <t>INT273</t>
  </si>
  <si>
    <t>C164</t>
  </si>
  <si>
    <t>INT274</t>
  </si>
  <si>
    <t>INT275</t>
  </si>
  <si>
    <t>C038</t>
  </si>
  <si>
    <t>INT276</t>
  </si>
  <si>
    <t>C087</t>
  </si>
  <si>
    <t>INT277</t>
  </si>
  <si>
    <t>INT278</t>
  </si>
  <si>
    <t>C034</t>
  </si>
  <si>
    <t>INT279</t>
  </si>
  <si>
    <t>INT280</t>
  </si>
  <si>
    <t>INT281</t>
  </si>
  <si>
    <t>INT282</t>
  </si>
  <si>
    <t>C145</t>
  </si>
  <si>
    <t>INT283</t>
  </si>
  <si>
    <t>INT284</t>
  </si>
  <si>
    <t>C157</t>
  </si>
  <si>
    <t>INT285</t>
  </si>
  <si>
    <t>INT286</t>
  </si>
  <si>
    <t>C181</t>
  </si>
  <si>
    <t>INT287</t>
  </si>
  <si>
    <t>INT288</t>
  </si>
  <si>
    <t>INT289</t>
  </si>
  <si>
    <t>INT290</t>
  </si>
  <si>
    <t>C167</t>
  </si>
  <si>
    <t>INT291</t>
  </si>
  <si>
    <t>INT292</t>
  </si>
  <si>
    <t>INT293</t>
  </si>
  <si>
    <t>INT294</t>
  </si>
  <si>
    <t>C188</t>
  </si>
  <si>
    <t>INT295</t>
  </si>
  <si>
    <t>INT296</t>
  </si>
  <si>
    <t>INT297</t>
  </si>
  <si>
    <t>INT298</t>
  </si>
  <si>
    <t>INT299</t>
  </si>
  <si>
    <t>INT300</t>
  </si>
  <si>
    <t>INT301</t>
  </si>
  <si>
    <t>INT302</t>
  </si>
  <si>
    <t>INT303</t>
  </si>
  <si>
    <t>INT304</t>
  </si>
  <si>
    <t>INT305</t>
  </si>
  <si>
    <t>INT306</t>
  </si>
  <si>
    <t>C097</t>
  </si>
  <si>
    <t>INT307</t>
  </si>
  <si>
    <t>INT308</t>
  </si>
  <si>
    <t>C094</t>
  </si>
  <si>
    <t>INT309</t>
  </si>
  <si>
    <t>INT310</t>
  </si>
  <si>
    <t>INT311</t>
  </si>
  <si>
    <t>INT312</t>
  </si>
  <si>
    <t>C048</t>
  </si>
  <si>
    <t>INT313</t>
  </si>
  <si>
    <t>INT314</t>
  </si>
  <si>
    <t>INT315</t>
  </si>
  <si>
    <t>INT316</t>
  </si>
  <si>
    <t>INT317</t>
  </si>
  <si>
    <t>INT318</t>
  </si>
  <si>
    <t>C165</t>
  </si>
  <si>
    <t>INT319</t>
  </si>
  <si>
    <t>C054</t>
  </si>
  <si>
    <t>INT320</t>
  </si>
  <si>
    <t>C009</t>
  </si>
  <si>
    <t>INT321</t>
  </si>
  <si>
    <t>C120</t>
  </si>
  <si>
    <t>INT322</t>
  </si>
  <si>
    <t>INT323</t>
  </si>
  <si>
    <t>C077</t>
  </si>
  <si>
    <t>INT324</t>
  </si>
  <si>
    <t>C099</t>
  </si>
  <si>
    <t>INT325</t>
  </si>
  <si>
    <t>INT326</t>
  </si>
  <si>
    <t>INT327</t>
  </si>
  <si>
    <t>INT328</t>
  </si>
  <si>
    <t>INT329</t>
  </si>
  <si>
    <t>INT330</t>
  </si>
  <si>
    <t>C114</t>
  </si>
  <si>
    <t>INT331</t>
  </si>
  <si>
    <t>INT332</t>
  </si>
  <si>
    <t>INT333</t>
  </si>
  <si>
    <t>INT334</t>
  </si>
  <si>
    <t>INT335</t>
  </si>
  <si>
    <t>C001</t>
  </si>
  <si>
    <t>INT336</t>
  </si>
  <si>
    <t>INT337</t>
  </si>
  <si>
    <t>INT338</t>
  </si>
  <si>
    <t>INT339</t>
  </si>
  <si>
    <t>INT340</t>
  </si>
  <si>
    <t>C086</t>
  </si>
  <si>
    <t>INT341</t>
  </si>
  <si>
    <t>C021</t>
  </si>
  <si>
    <t>INT342</t>
  </si>
  <si>
    <t>INT343</t>
  </si>
  <si>
    <t>INT344</t>
  </si>
  <si>
    <t>INT345</t>
  </si>
  <si>
    <t>INT346</t>
  </si>
  <si>
    <t>INT347</t>
  </si>
  <si>
    <t>C123</t>
  </si>
  <si>
    <t>INT348</t>
  </si>
  <si>
    <t>INT349</t>
  </si>
  <si>
    <t>INT350</t>
  </si>
  <si>
    <t>C050</t>
  </si>
  <si>
    <t>INT351</t>
  </si>
  <si>
    <t>INT352</t>
  </si>
  <si>
    <t>INT353</t>
  </si>
  <si>
    <t>INT354</t>
  </si>
  <si>
    <t>INT355</t>
  </si>
  <si>
    <t>INT356</t>
  </si>
  <si>
    <t>INT357</t>
  </si>
  <si>
    <t>INT358</t>
  </si>
  <si>
    <t>C056</t>
  </si>
  <si>
    <t>INT359</t>
  </si>
  <si>
    <t>INT360</t>
  </si>
  <si>
    <t>INT361</t>
  </si>
  <si>
    <t>INT362</t>
  </si>
  <si>
    <t>INT363</t>
  </si>
  <si>
    <t>INT364</t>
  </si>
  <si>
    <t>INT365</t>
  </si>
  <si>
    <t>C170</t>
  </si>
  <si>
    <t>INT366</t>
  </si>
  <si>
    <t>INT367</t>
  </si>
  <si>
    <t>INT368</t>
  </si>
  <si>
    <t>INT369</t>
  </si>
  <si>
    <t>INT370</t>
  </si>
  <si>
    <t>C096</t>
  </si>
  <si>
    <t>INT371</t>
  </si>
  <si>
    <t>INT372</t>
  </si>
  <si>
    <t>INT373</t>
  </si>
  <si>
    <t>INT374</t>
  </si>
  <si>
    <t>INT375</t>
  </si>
  <si>
    <t>INT376</t>
  </si>
  <si>
    <t>INT377</t>
  </si>
  <si>
    <t>INT378</t>
  </si>
  <si>
    <t>INT379</t>
  </si>
  <si>
    <t>C040</t>
  </si>
  <si>
    <t>INT380</t>
  </si>
  <si>
    <t>INT381</t>
  </si>
  <si>
    <t>C125</t>
  </si>
  <si>
    <t>INT382</t>
  </si>
  <si>
    <t>INT383</t>
  </si>
  <si>
    <t>C138</t>
  </si>
  <si>
    <t>INT384</t>
  </si>
  <si>
    <t>INT385</t>
  </si>
  <si>
    <t>INT386</t>
  </si>
  <si>
    <t>INT387</t>
  </si>
  <si>
    <t>INT388</t>
  </si>
  <si>
    <t>C061</t>
  </si>
  <si>
    <t>INT389</t>
  </si>
  <si>
    <t>INT390</t>
  </si>
  <si>
    <t>INT391</t>
  </si>
  <si>
    <t>C005</t>
  </si>
  <si>
    <t>INT392</t>
  </si>
  <si>
    <t>C018</t>
  </si>
  <si>
    <t>INT393</t>
  </si>
  <si>
    <t>INT394</t>
  </si>
  <si>
    <t>C035</t>
  </si>
  <si>
    <t>INT395</t>
  </si>
  <si>
    <t>INT396</t>
  </si>
  <si>
    <t>C068</t>
  </si>
  <si>
    <t>INT397</t>
  </si>
  <si>
    <t>C149</t>
  </si>
  <si>
    <t>INT398</t>
  </si>
  <si>
    <t>INT399</t>
  </si>
  <si>
    <t>INT400</t>
  </si>
  <si>
    <t>INT401</t>
  </si>
  <si>
    <t>INT402</t>
  </si>
  <si>
    <t>INT403</t>
  </si>
  <si>
    <t>INT404</t>
  </si>
  <si>
    <t>INT405</t>
  </si>
  <si>
    <t>INT406</t>
  </si>
  <si>
    <t>INT407</t>
  </si>
  <si>
    <t>INT408</t>
  </si>
  <si>
    <t>INT409</t>
  </si>
  <si>
    <t>INT410</t>
  </si>
  <si>
    <t>INT411</t>
  </si>
  <si>
    <t>INT412</t>
  </si>
  <si>
    <t>INT413</t>
  </si>
  <si>
    <t>INT414</t>
  </si>
  <si>
    <t>INT415</t>
  </si>
  <si>
    <t>INT416</t>
  </si>
  <si>
    <t>INT417</t>
  </si>
  <si>
    <t>INT418</t>
  </si>
  <si>
    <t>INT419</t>
  </si>
  <si>
    <t>INT420</t>
  </si>
  <si>
    <t>INT421</t>
  </si>
  <si>
    <t>INT422</t>
  </si>
  <si>
    <t>INT423</t>
  </si>
  <si>
    <t>INT424</t>
  </si>
  <si>
    <t>INT425</t>
  </si>
  <si>
    <t>INT426</t>
  </si>
  <si>
    <t>INT427</t>
  </si>
  <si>
    <t>C024</t>
  </si>
  <si>
    <t>INT428</t>
  </si>
  <si>
    <t>INT429</t>
  </si>
  <si>
    <t>INT430</t>
  </si>
  <si>
    <t>INT431</t>
  </si>
  <si>
    <t>INT432</t>
  </si>
  <si>
    <t>INT433</t>
  </si>
  <si>
    <t>INT434</t>
  </si>
  <si>
    <t>C155</t>
  </si>
  <si>
    <t>INT435</t>
  </si>
  <si>
    <t>C100</t>
  </si>
  <si>
    <t>INT436</t>
  </si>
  <si>
    <t>INT437</t>
  </si>
  <si>
    <t>INT438</t>
  </si>
  <si>
    <t>INT439</t>
  </si>
  <si>
    <t>INT440</t>
  </si>
  <si>
    <t>INT441</t>
  </si>
  <si>
    <t>INT442</t>
  </si>
  <si>
    <t>INT443</t>
  </si>
  <si>
    <t>INT444</t>
  </si>
  <si>
    <t>INT445</t>
  </si>
  <si>
    <t>INT446</t>
  </si>
  <si>
    <t>INT447</t>
  </si>
  <si>
    <t>INT448</t>
  </si>
  <si>
    <t>C156</t>
  </si>
  <si>
    <t>INT449</t>
  </si>
  <si>
    <t>INT450</t>
  </si>
  <si>
    <t>INT451</t>
  </si>
  <si>
    <t>INT452</t>
  </si>
  <si>
    <t>INT453</t>
  </si>
  <si>
    <t>INT454</t>
  </si>
  <si>
    <t>INT455</t>
  </si>
  <si>
    <t>INT456</t>
  </si>
  <si>
    <t>INT457</t>
  </si>
  <si>
    <t>INT458</t>
  </si>
  <si>
    <t>INT459</t>
  </si>
  <si>
    <t>INT460</t>
  </si>
  <si>
    <t>C113</t>
  </si>
  <si>
    <t>INT461</t>
  </si>
  <si>
    <t>INT462</t>
  </si>
  <si>
    <t>INT463</t>
  </si>
  <si>
    <t>INT464</t>
  </si>
  <si>
    <t>INT465</t>
  </si>
  <si>
    <t>INT466</t>
  </si>
  <si>
    <t>INT467</t>
  </si>
  <si>
    <t>INT468</t>
  </si>
  <si>
    <t>INT469</t>
  </si>
  <si>
    <t>INT470</t>
  </si>
  <si>
    <t>INT471</t>
  </si>
  <si>
    <t>INT472</t>
  </si>
  <si>
    <t>INT473</t>
  </si>
  <si>
    <t>INT474</t>
  </si>
  <si>
    <t>INT475</t>
  </si>
  <si>
    <t>INT476</t>
  </si>
  <si>
    <t>INT477</t>
  </si>
  <si>
    <t>INT478</t>
  </si>
  <si>
    <t>INT479</t>
  </si>
  <si>
    <t>INT480</t>
  </si>
  <si>
    <t>INT481</t>
  </si>
  <si>
    <t>INT482</t>
  </si>
  <si>
    <t>INT483</t>
  </si>
  <si>
    <t>INT484</t>
  </si>
  <si>
    <t>INT485</t>
  </si>
  <si>
    <t>INT486</t>
  </si>
  <si>
    <t>INT487</t>
  </si>
  <si>
    <t>INT488</t>
  </si>
  <si>
    <t>INT489</t>
  </si>
  <si>
    <t>INT490</t>
  </si>
  <si>
    <t>INT491</t>
  </si>
  <si>
    <t>INT492</t>
  </si>
  <si>
    <t>INT493</t>
  </si>
  <si>
    <t>INT494</t>
  </si>
  <si>
    <t>INT495</t>
  </si>
  <si>
    <t>INT496</t>
  </si>
  <si>
    <t>INT497</t>
  </si>
  <si>
    <t>INT498</t>
  </si>
  <si>
    <t>INT499</t>
  </si>
  <si>
    <t>INT500</t>
  </si>
  <si>
    <t>CampaignName</t>
  </si>
  <si>
    <t>CampaignType</t>
  </si>
  <si>
    <t>StartDate</t>
  </si>
  <si>
    <t>EndDate</t>
  </si>
  <si>
    <t>Budget</t>
  </si>
  <si>
    <t>Ramadan Promo</t>
  </si>
  <si>
    <t>Digital</t>
  </si>
  <si>
    <t>Summer Sale</t>
  </si>
  <si>
    <t>Social Media</t>
  </si>
  <si>
    <t>Winter Clearance</t>
  </si>
  <si>
    <t>Email</t>
  </si>
  <si>
    <t>Outdoor Billboard</t>
  </si>
  <si>
    <t>Outdoor</t>
  </si>
  <si>
    <t>Eid Celebration</t>
  </si>
  <si>
    <t>FullName</t>
  </si>
  <si>
    <t>Age</t>
  </si>
  <si>
    <t>Gender</t>
  </si>
  <si>
    <t>City</t>
  </si>
  <si>
    <t>Segment</t>
  </si>
  <si>
    <t>Sharon Cline</t>
  </si>
  <si>
    <t>Male</t>
  </si>
  <si>
    <t>Medina</t>
  </si>
  <si>
    <t>Returning Customer</t>
  </si>
  <si>
    <t>Debra Montoya</t>
  </si>
  <si>
    <t>Jeddah</t>
  </si>
  <si>
    <t>Premium</t>
  </si>
  <si>
    <t>Joel Cruz</t>
  </si>
  <si>
    <t>Female</t>
  </si>
  <si>
    <t>Amman</t>
  </si>
  <si>
    <t>Crystal Kim</t>
  </si>
  <si>
    <t>Khartoum</t>
  </si>
  <si>
    <t>Walter Johnson</t>
  </si>
  <si>
    <t>Mecca</t>
  </si>
  <si>
    <t>New Customer</t>
  </si>
  <si>
    <t>C006</t>
  </si>
  <si>
    <t>Raymond Chaney</t>
  </si>
  <si>
    <t>Doha</t>
  </si>
  <si>
    <t>David Morales</t>
  </si>
  <si>
    <t>Douglas Robinson</t>
  </si>
  <si>
    <t>Ryan Shah</t>
  </si>
  <si>
    <t>Abu Dhabi</t>
  </si>
  <si>
    <t>Shane Padilla</t>
  </si>
  <si>
    <t>C011</t>
  </si>
  <si>
    <t>Michael Johnson</t>
  </si>
  <si>
    <t>Patricia Jones</t>
  </si>
  <si>
    <t>Nicole Cook</t>
  </si>
  <si>
    <t>Angela Mclaughlin</t>
  </si>
  <si>
    <t>C015</t>
  </si>
  <si>
    <t>Damon Smith</t>
  </si>
  <si>
    <t>Dubai</t>
  </si>
  <si>
    <t>Natalie Lamb</t>
  </si>
  <si>
    <t>Shelley Nelson</t>
  </si>
  <si>
    <t>Christopher Myers</t>
  </si>
  <si>
    <t>Jennifer Moon</t>
  </si>
  <si>
    <t>Baghdad</t>
  </si>
  <si>
    <t>Whitney Thomas</t>
  </si>
  <si>
    <t>Alexander Haynes</t>
  </si>
  <si>
    <t>C022</t>
  </si>
  <si>
    <t>Clinton Delacruz</t>
  </si>
  <si>
    <t>Cairo</t>
  </si>
  <si>
    <t>Kara Burns</t>
  </si>
  <si>
    <t>Kuwait City</t>
  </si>
  <si>
    <t>Amy Bennett</t>
  </si>
  <si>
    <t>Tina Gregory</t>
  </si>
  <si>
    <t>Marissa Strong</t>
  </si>
  <si>
    <t>Jessica Bean</t>
  </si>
  <si>
    <t>Michael Smith</t>
  </si>
  <si>
    <t>Beirut</t>
  </si>
  <si>
    <t>Brittany Abbott</t>
  </si>
  <si>
    <t>Rebecca Guzman</t>
  </si>
  <si>
    <t>Dylan Silva</t>
  </si>
  <si>
    <t>Courtney Castillo</t>
  </si>
  <si>
    <t>Alexandria</t>
  </si>
  <si>
    <t>Sergio Bennett</t>
  </si>
  <si>
    <t>Kirk Fernandez</t>
  </si>
  <si>
    <t>Riyadh</t>
  </si>
  <si>
    <t>Austin Vaughan</t>
  </si>
  <si>
    <t>Brianna Moore</t>
  </si>
  <si>
    <t>Jeffrey George</t>
  </si>
  <si>
    <t>Alexis Brown</t>
  </si>
  <si>
    <t>Robert Smith</t>
  </si>
  <si>
    <t>Patrick Miller</t>
  </si>
  <si>
    <t>Joseph Brown</t>
  </si>
  <si>
    <t>Alexander Lee</t>
  </si>
  <si>
    <t>Jodi Rowe</t>
  </si>
  <si>
    <t>Bethany Wright</t>
  </si>
  <si>
    <t>Thomas Cline</t>
  </si>
  <si>
    <t>Muscat</t>
  </si>
  <si>
    <t>Daniel Harrington</t>
  </si>
  <si>
    <t>Teresa Mason</t>
  </si>
  <si>
    <t>Allison Adams</t>
  </si>
  <si>
    <t>Marie Henson</t>
  </si>
  <si>
    <t>Diane Taylor</t>
  </si>
  <si>
    <t>Hannah Henry</t>
  </si>
  <si>
    <t>Lindsay Ramirez</t>
  </si>
  <si>
    <t>Hunter Cuevas</t>
  </si>
  <si>
    <t>Nicholas Holmes</t>
  </si>
  <si>
    <t>Kim Diaz</t>
  </si>
  <si>
    <t>Jeffrey Lyons</t>
  </si>
  <si>
    <t>Taylor Bailey</t>
  </si>
  <si>
    <t>Brianna Hester</t>
  </si>
  <si>
    <t>Patty Benjamin</t>
  </si>
  <si>
    <t>Michael Miles</t>
  </si>
  <si>
    <t>Mark Wilson</t>
  </si>
  <si>
    <t>Abigail Rivers</t>
  </si>
  <si>
    <t>Michael Gray</t>
  </si>
  <si>
    <t>Denise Anderson</t>
  </si>
  <si>
    <t>Regina Klein</t>
  </si>
  <si>
    <t>Anne Davis</t>
  </si>
  <si>
    <t>Mckenzie Dixon</t>
  </si>
  <si>
    <t>Pamela Watkins</t>
  </si>
  <si>
    <t>Jason Gross</t>
  </si>
  <si>
    <t>Nancy Michael</t>
  </si>
  <si>
    <t>Stacy Miller</t>
  </si>
  <si>
    <t>Crystal Edwards</t>
  </si>
  <si>
    <t>Jesus Chandler</t>
  </si>
  <si>
    <t>Stephanie Allen</t>
  </si>
  <si>
    <t>Sarah Hurst</t>
  </si>
  <si>
    <t>Carol Trevino</t>
  </si>
  <si>
    <t>Donald Webster</t>
  </si>
  <si>
    <t>James Kidd</t>
  </si>
  <si>
    <t>Katelyn Berg</t>
  </si>
  <si>
    <t>C080</t>
  </si>
  <si>
    <t>Tony Gonzalez</t>
  </si>
  <si>
    <t>Shirley Anderson</t>
  </si>
  <si>
    <t>Melanie House</t>
  </si>
  <si>
    <t>Mark Frederick</t>
  </si>
  <si>
    <t>Gwendolyn Hendrix</t>
  </si>
  <si>
    <t>Daniel Chen</t>
  </si>
  <si>
    <t>Yesenia Lowery</t>
  </si>
  <si>
    <t>Miranda Shea</t>
  </si>
  <si>
    <t>Sierra Rodriguez</t>
  </si>
  <si>
    <t>Elizabeth Harrington</t>
  </si>
  <si>
    <t>C090</t>
  </si>
  <si>
    <t>Brittany Yu</t>
  </si>
  <si>
    <t>Amy Cruz</t>
  </si>
  <si>
    <t>Olivia Davis</t>
  </si>
  <si>
    <t>Sandy Rodgers</t>
  </si>
  <si>
    <t>Rhonda Hicks</t>
  </si>
  <si>
    <t>Stephanie Beck</t>
  </si>
  <si>
    <t>Joseph Fitzgerald</t>
  </si>
  <si>
    <t>Carrie Johnson</t>
  </si>
  <si>
    <t>Andrew Hill</t>
  </si>
  <si>
    <t>Christopher Davis</t>
  </si>
  <si>
    <t>Gina Davis</t>
  </si>
  <si>
    <t>Thomas Williams</t>
  </si>
  <si>
    <t>Patrick Myers</t>
  </si>
  <si>
    <t>Connor Lamb</t>
  </si>
  <si>
    <t>Eugene Ellis</t>
  </si>
  <si>
    <t>Jerry Mckinney</t>
  </si>
  <si>
    <t>Vanessa Peterson</t>
  </si>
  <si>
    <t>Catherine Williams</t>
  </si>
  <si>
    <t>Jill James</t>
  </si>
  <si>
    <t>Renee Bowers</t>
  </si>
  <si>
    <t>Alexis Morrow</t>
  </si>
  <si>
    <t>Denise Shepherd</t>
  </si>
  <si>
    <t>Laura Shaw</t>
  </si>
  <si>
    <t>Dylan Miller</t>
  </si>
  <si>
    <t>Daniel Walker</t>
  </si>
  <si>
    <t>Michelle Gibson</t>
  </si>
  <si>
    <t>Michelle Romero</t>
  </si>
  <si>
    <t>John Smith</t>
  </si>
  <si>
    <t>Travis Fields</t>
  </si>
  <si>
    <t>Sara Cameron</t>
  </si>
  <si>
    <t>Gloria Fernandez</t>
  </si>
  <si>
    <t>Stephanie Mitchell</t>
  </si>
  <si>
    <t>Beth Ramirez</t>
  </si>
  <si>
    <t>James Shea</t>
  </si>
  <si>
    <t>Jeffrey Jones</t>
  </si>
  <si>
    <t>Justin Hubbard</t>
  </si>
  <si>
    <t>Michael Ritter</t>
  </si>
  <si>
    <t>Alyssa Obrien</t>
  </si>
  <si>
    <t>Anita Watts</t>
  </si>
  <si>
    <t>Crystal Oconnor</t>
  </si>
  <si>
    <t>C130</t>
  </si>
  <si>
    <t>Dustin Hickman</t>
  </si>
  <si>
    <t>Stephen Walker</t>
  </si>
  <si>
    <t>Brian Williams</t>
  </si>
  <si>
    <t>Tracy Gay</t>
  </si>
  <si>
    <t>Michelle Sawyer</t>
  </si>
  <si>
    <t>C135</t>
  </si>
  <si>
    <t>Eric Miles</t>
  </si>
  <si>
    <t>Jeremy Wright</t>
  </si>
  <si>
    <t>Paul Brandt</t>
  </si>
  <si>
    <t>Christine Rodriguez</t>
  </si>
  <si>
    <t>Jermaine Gomez</t>
  </si>
  <si>
    <t>C140</t>
  </si>
  <si>
    <t>Robert Dennis</t>
  </si>
  <si>
    <t>Kimberly Larson</t>
  </si>
  <si>
    <t>Gabrielle Nixon</t>
  </si>
  <si>
    <t>Mia Scott</t>
  </si>
  <si>
    <t>Robert Wright</t>
  </si>
  <si>
    <t>Brenda Francis</t>
  </si>
  <si>
    <t>Linda Diaz</t>
  </si>
  <si>
    <t>Natalie Wallace</t>
  </si>
  <si>
    <t>Calvin Kaufman</t>
  </si>
  <si>
    <t>Karen Willis</t>
  </si>
  <si>
    <t>Shannon Hill</t>
  </si>
  <si>
    <t>Emma Brown</t>
  </si>
  <si>
    <t>Madison Richmond</t>
  </si>
  <si>
    <t>Samantha Scott</t>
  </si>
  <si>
    <t>Teresa Manning</t>
  </si>
  <si>
    <t>Robert Thomas</t>
  </si>
  <si>
    <t>Kyle Brown</t>
  </si>
  <si>
    <t>Heather Sheppard</t>
  </si>
  <si>
    <t>Amber Graham</t>
  </si>
  <si>
    <t>Megan Thomas</t>
  </si>
  <si>
    <t>David Jones</t>
  </si>
  <si>
    <t>Derek Cuevas</t>
  </si>
  <si>
    <t>Jeff Patterson</t>
  </si>
  <si>
    <t>C163</t>
  </si>
  <si>
    <t>Kathy Atkins</t>
  </si>
  <si>
    <t>Jackson Newman</t>
  </si>
  <si>
    <t>Kimberly Barrett</t>
  </si>
  <si>
    <t>Zoe Elliott</t>
  </si>
  <si>
    <t>Susan Cooper</t>
  </si>
  <si>
    <t>Nathaniel Thompson</t>
  </si>
  <si>
    <t>Martin Collins</t>
  </si>
  <si>
    <t>David Hart</t>
  </si>
  <si>
    <t>C171</t>
  </si>
  <si>
    <t>Donna Hernandez</t>
  </si>
  <si>
    <t>C172</t>
  </si>
  <si>
    <t>Robert Brown</t>
  </si>
  <si>
    <t>Jeffery Dillon</t>
  </si>
  <si>
    <t>Alec Watts</t>
  </si>
  <si>
    <t>Melissa May</t>
  </si>
  <si>
    <t>Susan Cox</t>
  </si>
  <si>
    <t>Christopher Thomas</t>
  </si>
  <si>
    <t>Sydney Bauer</t>
  </si>
  <si>
    <t>Kimberly Delgado</t>
  </si>
  <si>
    <t>C180</t>
  </si>
  <si>
    <t>Chris Howard</t>
  </si>
  <si>
    <t>Edward Walker</t>
  </si>
  <si>
    <t>Robert Boyd</t>
  </si>
  <si>
    <t>Kathy Lopez</t>
  </si>
  <si>
    <t>Michael Brown</t>
  </si>
  <si>
    <t>Shawn Rowe</t>
  </si>
  <si>
    <t>Heather Martinez</t>
  </si>
  <si>
    <t>Betty Waller</t>
  </si>
  <si>
    <t>Lawrence Patton</t>
  </si>
  <si>
    <t>Pamela Ross</t>
  </si>
  <si>
    <t>David Huerta</t>
  </si>
  <si>
    <t>Lauren Curry</t>
  </si>
  <si>
    <t>Kyle Prince</t>
  </si>
  <si>
    <t>C193</t>
  </si>
  <si>
    <t>David Garner</t>
  </si>
  <si>
    <t>Christina Williams</t>
  </si>
  <si>
    <t>Elizabeth Bolton</t>
  </si>
  <si>
    <t>Joanne Schroeder</t>
  </si>
  <si>
    <t>Yolanda Green</t>
  </si>
  <si>
    <t>Chad Shah</t>
  </si>
  <si>
    <t>C199</t>
  </si>
  <si>
    <t>Savannah Daniel</t>
  </si>
  <si>
    <t>Nichole Miller</t>
  </si>
  <si>
    <t>FullDate</t>
  </si>
  <si>
    <t>Month Name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</si>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</sst>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Interactions" displayName="Interactions" ref="A1:H501" totalsRowShown="0">
  <autoFilter ref="A1:H501"/>
  <tableColumns count="8">
    <tableColumn id="1" name="InteractionID"/>
    <tableColumn id="2" name="CampaignID"/>
    <tableColumn id="3" name="CustomerID"/>
    <tableColumn id="4" name="InteractionDate" dataDxfId="6"/>
    <tableColumn id="5" name="Impressions"/>
    <tableColumn id="6" name="Clicks"/>
    <tableColumn id="7" name="Conversions"/>
    <tableColumn id="8" name="C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mpaigns" displayName="Campaigns" ref="A1:F6" totalsRowShown="0">
  <autoFilter ref="A1:F6"/>
  <tableColumns count="6">
    <tableColumn id="1" name="CampaignID"/>
    <tableColumn id="2" name="CampaignName"/>
    <tableColumn id="3" name="CampaignType"/>
    <tableColumn id="4" name="StartDate" dataDxfId="5"/>
    <tableColumn id="5" name="EndDate" dataDxfId="4"/>
    <tableColumn id="6" name="Budg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ustomers" displayName="Customers" ref="A1:F201" totalsRowShown="0">
  <autoFilter ref="A1:F201"/>
  <tableColumns count="6">
    <tableColumn id="1" name="CustomerID"/>
    <tableColumn id="2" name="FullName"/>
    <tableColumn id="3" name="Age"/>
    <tableColumn id="4" name="Gender"/>
    <tableColumn id="5" name="City"/>
    <tableColumn id="6" name="Seg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imDate" displayName="DimDate" ref="A1:D213" totalsRowShown="0">
  <autoFilter ref="A1:D213"/>
  <tableColumns count="4">
    <tableColumn id="1" name="FullDate" dataDxfId="3"/>
    <tableColumn id="2" name="Month Name" dataDxfId="2">
      <calculatedColumnFormula>TEXT(DimDate[[#This Row],[FullDate]],"MMMM")</calculatedColumnFormula>
    </tableColumn>
    <tableColumn id="3" name="Month" dataDxfId="1">
      <calculatedColumnFormula>MONTH(DimDate[[#This Row],[FullDate]])</calculatedColumnFormula>
    </tableColumn>
    <tableColumn id="4" name="Year" dataDxfId="0">
      <calculatedColumnFormula>YEAR(DimDate[[#This Row],[FullDate]])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workbookViewId="0"/>
  </sheetViews>
  <sheetFormatPr defaultRowHeight="14.5" x14ac:dyDescent="0.35"/>
  <cols>
    <col min="1" max="1" width="13.90625" customWidth="1"/>
    <col min="2" max="2" width="12.90625" customWidth="1"/>
    <col min="3" max="3" width="12.81640625" customWidth="1"/>
    <col min="4" max="4" width="16.08984375" customWidth="1"/>
    <col min="5" max="5" width="12.90625" customWidth="1"/>
    <col min="6" max="6" width="7.453125" customWidth="1"/>
    <col min="7" max="7" width="13" customWidth="1"/>
    <col min="8" max="8" width="7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s="1">
        <v>45629</v>
      </c>
      <c r="E2">
        <v>4857</v>
      </c>
      <c r="F2">
        <v>748</v>
      </c>
      <c r="G2">
        <v>55</v>
      </c>
      <c r="H2">
        <v>8407.5</v>
      </c>
    </row>
    <row r="3" spans="1:8" x14ac:dyDescent="0.35">
      <c r="A3" t="s">
        <v>11</v>
      </c>
      <c r="B3" t="s">
        <v>9</v>
      </c>
      <c r="C3" t="s">
        <v>12</v>
      </c>
      <c r="D3" s="1">
        <v>45638</v>
      </c>
      <c r="E3">
        <v>1073</v>
      </c>
      <c r="F3">
        <v>446</v>
      </c>
      <c r="G3">
        <v>81</v>
      </c>
      <c r="H3">
        <v>2278.5</v>
      </c>
    </row>
    <row r="4" spans="1:8" x14ac:dyDescent="0.35">
      <c r="A4" t="s">
        <v>13</v>
      </c>
      <c r="B4" t="s">
        <v>9</v>
      </c>
      <c r="C4" t="s">
        <v>14</v>
      </c>
      <c r="D4" s="1">
        <v>45637</v>
      </c>
      <c r="E4">
        <v>3198</v>
      </c>
      <c r="F4">
        <v>864</v>
      </c>
      <c r="G4">
        <v>22</v>
      </c>
      <c r="H4">
        <v>6093</v>
      </c>
    </row>
    <row r="5" spans="1:8" x14ac:dyDescent="0.35">
      <c r="A5" t="s">
        <v>15</v>
      </c>
      <c r="B5" t="s">
        <v>9</v>
      </c>
      <c r="C5" t="s">
        <v>16</v>
      </c>
      <c r="D5" s="1">
        <v>45630</v>
      </c>
      <c r="E5">
        <v>1366</v>
      </c>
      <c r="F5">
        <v>721</v>
      </c>
      <c r="G5">
        <v>106</v>
      </c>
      <c r="H5">
        <v>3130.5</v>
      </c>
    </row>
    <row r="6" spans="1:8" x14ac:dyDescent="0.35">
      <c r="A6" t="s">
        <v>17</v>
      </c>
      <c r="B6" t="s">
        <v>18</v>
      </c>
      <c r="C6" t="s">
        <v>19</v>
      </c>
      <c r="D6" s="1">
        <v>45727</v>
      </c>
      <c r="E6">
        <v>1416</v>
      </c>
      <c r="F6">
        <v>44</v>
      </c>
      <c r="G6">
        <v>0</v>
      </c>
      <c r="H6">
        <v>3650</v>
      </c>
    </row>
    <row r="7" spans="1:8" x14ac:dyDescent="0.35">
      <c r="A7" t="s">
        <v>20</v>
      </c>
      <c r="B7" t="s">
        <v>21</v>
      </c>
      <c r="C7" t="s">
        <v>22</v>
      </c>
      <c r="D7" s="1">
        <v>45838</v>
      </c>
      <c r="E7">
        <v>3146</v>
      </c>
      <c r="F7">
        <v>1524</v>
      </c>
      <c r="G7">
        <v>104</v>
      </c>
      <c r="H7">
        <v>18680</v>
      </c>
    </row>
    <row r="8" spans="1:8" x14ac:dyDescent="0.35">
      <c r="A8" t="s">
        <v>23</v>
      </c>
      <c r="B8" t="s">
        <v>24</v>
      </c>
      <c r="C8" t="s">
        <v>25</v>
      </c>
      <c r="D8" s="1">
        <v>45764</v>
      </c>
      <c r="E8">
        <v>515</v>
      </c>
      <c r="F8">
        <v>54</v>
      </c>
      <c r="G8">
        <v>6</v>
      </c>
      <c r="H8">
        <v>1707</v>
      </c>
    </row>
    <row r="9" spans="1:8" x14ac:dyDescent="0.35">
      <c r="A9" t="s">
        <v>26</v>
      </c>
      <c r="B9" t="s">
        <v>9</v>
      </c>
      <c r="C9" t="s">
        <v>19</v>
      </c>
      <c r="D9" s="1">
        <v>45638</v>
      </c>
      <c r="E9">
        <v>2120</v>
      </c>
      <c r="F9">
        <v>581</v>
      </c>
      <c r="G9">
        <v>12</v>
      </c>
      <c r="H9">
        <v>4051.5</v>
      </c>
    </row>
    <row r="10" spans="1:8" x14ac:dyDescent="0.35">
      <c r="A10" t="s">
        <v>27</v>
      </c>
      <c r="B10" t="s">
        <v>21</v>
      </c>
      <c r="C10" t="s">
        <v>28</v>
      </c>
      <c r="D10" s="1">
        <v>45820</v>
      </c>
      <c r="E10">
        <v>1628</v>
      </c>
      <c r="F10">
        <v>1186</v>
      </c>
      <c r="G10">
        <v>124</v>
      </c>
      <c r="H10">
        <v>11256</v>
      </c>
    </row>
    <row r="11" spans="1:8" x14ac:dyDescent="0.35">
      <c r="A11" t="s">
        <v>29</v>
      </c>
      <c r="B11" t="s">
        <v>18</v>
      </c>
      <c r="C11" t="s">
        <v>30</v>
      </c>
      <c r="D11" s="1">
        <v>45717</v>
      </c>
      <c r="E11">
        <v>987</v>
      </c>
      <c r="F11">
        <v>628</v>
      </c>
      <c r="G11">
        <v>99</v>
      </c>
      <c r="H11">
        <v>4037.5</v>
      </c>
    </row>
    <row r="12" spans="1:8" x14ac:dyDescent="0.35">
      <c r="A12" t="s">
        <v>31</v>
      </c>
      <c r="B12" t="s">
        <v>32</v>
      </c>
      <c r="C12" t="s">
        <v>33</v>
      </c>
      <c r="D12" s="1">
        <v>45684</v>
      </c>
      <c r="E12">
        <v>1876</v>
      </c>
      <c r="F12">
        <v>1626</v>
      </c>
      <c r="G12">
        <v>239</v>
      </c>
      <c r="H12">
        <v>17510</v>
      </c>
    </row>
    <row r="13" spans="1:8" x14ac:dyDescent="0.35">
      <c r="A13" t="s">
        <v>34</v>
      </c>
      <c r="B13" t="s">
        <v>32</v>
      </c>
      <c r="C13" t="s">
        <v>35</v>
      </c>
      <c r="D13" s="1">
        <v>45690</v>
      </c>
      <c r="E13">
        <v>168</v>
      </c>
      <c r="F13">
        <v>168</v>
      </c>
      <c r="G13">
        <v>23</v>
      </c>
      <c r="H13">
        <v>1680</v>
      </c>
    </row>
    <row r="14" spans="1:8" x14ac:dyDescent="0.35">
      <c r="A14" t="s">
        <v>36</v>
      </c>
      <c r="B14" t="s">
        <v>21</v>
      </c>
      <c r="C14" t="s">
        <v>37</v>
      </c>
      <c r="D14" s="1">
        <v>45838</v>
      </c>
      <c r="E14">
        <v>2289</v>
      </c>
      <c r="F14">
        <v>604</v>
      </c>
      <c r="G14">
        <v>55</v>
      </c>
      <c r="H14">
        <v>11572</v>
      </c>
    </row>
    <row r="15" spans="1:8" x14ac:dyDescent="0.35">
      <c r="A15" t="s">
        <v>38</v>
      </c>
      <c r="B15" t="s">
        <v>9</v>
      </c>
      <c r="C15" t="s">
        <v>39</v>
      </c>
      <c r="D15" s="1">
        <v>45628</v>
      </c>
      <c r="E15">
        <v>1323</v>
      </c>
      <c r="F15">
        <v>276</v>
      </c>
      <c r="G15">
        <v>10</v>
      </c>
      <c r="H15">
        <v>2398.5</v>
      </c>
    </row>
    <row r="16" spans="1:8" x14ac:dyDescent="0.35">
      <c r="A16" t="s">
        <v>40</v>
      </c>
      <c r="B16" t="s">
        <v>24</v>
      </c>
      <c r="C16" t="s">
        <v>41</v>
      </c>
      <c r="D16" s="1">
        <v>45757</v>
      </c>
      <c r="E16">
        <v>2966</v>
      </c>
      <c r="F16">
        <v>2682</v>
      </c>
      <c r="G16">
        <v>228</v>
      </c>
      <c r="H16">
        <v>16944</v>
      </c>
    </row>
    <row r="17" spans="1:8" x14ac:dyDescent="0.35">
      <c r="A17" t="s">
        <v>42</v>
      </c>
      <c r="B17" t="s">
        <v>24</v>
      </c>
      <c r="C17" t="s">
        <v>43</v>
      </c>
      <c r="D17" s="1">
        <v>45765</v>
      </c>
      <c r="E17">
        <v>4094</v>
      </c>
      <c r="F17">
        <v>3595</v>
      </c>
      <c r="G17">
        <v>219</v>
      </c>
      <c r="H17">
        <v>23067</v>
      </c>
    </row>
    <row r="18" spans="1:8" x14ac:dyDescent="0.35">
      <c r="A18" t="s">
        <v>44</v>
      </c>
      <c r="B18" t="s">
        <v>32</v>
      </c>
      <c r="C18" t="s">
        <v>45</v>
      </c>
      <c r="D18" s="1">
        <v>45690</v>
      </c>
      <c r="E18">
        <v>4440</v>
      </c>
      <c r="F18">
        <v>3437</v>
      </c>
      <c r="G18">
        <v>506</v>
      </c>
      <c r="H18">
        <v>39385</v>
      </c>
    </row>
    <row r="19" spans="1:8" x14ac:dyDescent="0.35">
      <c r="A19" t="s">
        <v>46</v>
      </c>
      <c r="B19" t="s">
        <v>32</v>
      </c>
      <c r="C19" t="s">
        <v>45</v>
      </c>
      <c r="D19" s="1">
        <v>45687</v>
      </c>
      <c r="E19">
        <v>2657</v>
      </c>
      <c r="F19">
        <v>1351</v>
      </c>
      <c r="G19">
        <v>257</v>
      </c>
      <c r="H19">
        <v>20040</v>
      </c>
    </row>
    <row r="20" spans="1:8" x14ac:dyDescent="0.35">
      <c r="A20" t="s">
        <v>47</v>
      </c>
      <c r="B20" t="s">
        <v>24</v>
      </c>
      <c r="C20" t="s">
        <v>39</v>
      </c>
      <c r="D20" s="1">
        <v>45766</v>
      </c>
      <c r="E20">
        <v>2534</v>
      </c>
      <c r="F20">
        <v>599</v>
      </c>
      <c r="G20">
        <v>92</v>
      </c>
      <c r="H20">
        <v>9399</v>
      </c>
    </row>
    <row r="21" spans="1:8" x14ac:dyDescent="0.35">
      <c r="A21" t="s">
        <v>48</v>
      </c>
      <c r="B21" t="s">
        <v>9</v>
      </c>
      <c r="C21" t="s">
        <v>49</v>
      </c>
      <c r="D21" s="1">
        <v>45640</v>
      </c>
      <c r="E21">
        <v>1486</v>
      </c>
      <c r="F21">
        <v>1382</v>
      </c>
      <c r="G21">
        <v>130</v>
      </c>
      <c r="H21">
        <v>4302</v>
      </c>
    </row>
    <row r="22" spans="1:8" x14ac:dyDescent="0.35">
      <c r="A22" t="s">
        <v>50</v>
      </c>
      <c r="B22" t="s">
        <v>18</v>
      </c>
      <c r="C22" t="s">
        <v>51</v>
      </c>
      <c r="D22" s="1">
        <v>45721</v>
      </c>
      <c r="E22">
        <v>3699</v>
      </c>
      <c r="F22">
        <v>3150</v>
      </c>
      <c r="G22">
        <v>4</v>
      </c>
      <c r="H22">
        <v>17122.5</v>
      </c>
    </row>
    <row r="23" spans="1:8" x14ac:dyDescent="0.35">
      <c r="A23" t="s">
        <v>52</v>
      </c>
      <c r="B23" t="s">
        <v>18</v>
      </c>
      <c r="C23" t="s">
        <v>16</v>
      </c>
      <c r="D23" s="1">
        <v>45717</v>
      </c>
      <c r="E23">
        <v>1350</v>
      </c>
      <c r="F23">
        <v>140</v>
      </c>
      <c r="G23">
        <v>4</v>
      </c>
      <c r="H23">
        <v>3725</v>
      </c>
    </row>
    <row r="24" spans="1:8" x14ac:dyDescent="0.35">
      <c r="A24" t="s">
        <v>53</v>
      </c>
      <c r="B24" t="s">
        <v>9</v>
      </c>
      <c r="C24" t="s">
        <v>54</v>
      </c>
      <c r="D24" s="1">
        <v>45645</v>
      </c>
      <c r="E24">
        <v>744</v>
      </c>
      <c r="F24">
        <v>291</v>
      </c>
      <c r="G24">
        <v>10</v>
      </c>
      <c r="H24">
        <v>1552.5</v>
      </c>
    </row>
    <row r="25" spans="1:8" x14ac:dyDescent="0.35">
      <c r="A25" t="s">
        <v>55</v>
      </c>
      <c r="B25" t="s">
        <v>24</v>
      </c>
      <c r="C25" t="s">
        <v>56</v>
      </c>
      <c r="D25" s="1">
        <v>45766</v>
      </c>
      <c r="E25">
        <v>815</v>
      </c>
      <c r="F25">
        <v>597</v>
      </c>
      <c r="G25">
        <v>101</v>
      </c>
      <c r="H25">
        <v>4236</v>
      </c>
    </row>
    <row r="26" spans="1:8" x14ac:dyDescent="0.35">
      <c r="A26" t="s">
        <v>57</v>
      </c>
      <c r="B26" t="s">
        <v>32</v>
      </c>
      <c r="C26" t="s">
        <v>58</v>
      </c>
      <c r="D26" s="1">
        <v>45693</v>
      </c>
      <c r="E26">
        <v>107</v>
      </c>
      <c r="F26">
        <v>34</v>
      </c>
      <c r="G26">
        <v>2</v>
      </c>
      <c r="H26">
        <v>705</v>
      </c>
    </row>
    <row r="27" spans="1:8" x14ac:dyDescent="0.35">
      <c r="A27" t="s">
        <v>59</v>
      </c>
      <c r="B27" t="s">
        <v>21</v>
      </c>
      <c r="C27" t="s">
        <v>60</v>
      </c>
      <c r="D27" s="1">
        <v>45823</v>
      </c>
      <c r="E27">
        <v>2177</v>
      </c>
      <c r="F27">
        <v>961</v>
      </c>
      <c r="G27">
        <v>39</v>
      </c>
      <c r="H27">
        <v>12552</v>
      </c>
    </row>
    <row r="28" spans="1:8" x14ac:dyDescent="0.35">
      <c r="A28" t="s">
        <v>61</v>
      </c>
      <c r="B28" t="s">
        <v>32</v>
      </c>
      <c r="C28" t="s">
        <v>62</v>
      </c>
      <c r="D28" s="1">
        <v>45674</v>
      </c>
      <c r="E28">
        <v>1620</v>
      </c>
      <c r="F28">
        <v>162</v>
      </c>
      <c r="G28">
        <v>25</v>
      </c>
      <c r="H28">
        <v>8910</v>
      </c>
    </row>
    <row r="29" spans="1:8" x14ac:dyDescent="0.35">
      <c r="A29" t="s">
        <v>63</v>
      </c>
      <c r="B29" t="s">
        <v>9</v>
      </c>
      <c r="C29" t="s">
        <v>64</v>
      </c>
      <c r="D29" s="1">
        <v>45640</v>
      </c>
      <c r="E29">
        <v>4073</v>
      </c>
      <c r="F29">
        <v>1237</v>
      </c>
      <c r="G29">
        <v>202</v>
      </c>
      <c r="H29">
        <v>7965</v>
      </c>
    </row>
    <row r="30" spans="1:8" x14ac:dyDescent="0.35">
      <c r="A30" t="s">
        <v>65</v>
      </c>
      <c r="B30" t="s">
        <v>24</v>
      </c>
      <c r="C30" t="s">
        <v>66</v>
      </c>
      <c r="D30" s="1">
        <v>45766</v>
      </c>
      <c r="E30">
        <v>4082</v>
      </c>
      <c r="F30">
        <v>2326</v>
      </c>
      <c r="G30">
        <v>206</v>
      </c>
      <c r="H30">
        <v>19224</v>
      </c>
    </row>
    <row r="31" spans="1:8" x14ac:dyDescent="0.35">
      <c r="A31" t="s">
        <v>67</v>
      </c>
      <c r="B31" t="s">
        <v>24</v>
      </c>
      <c r="C31" t="s">
        <v>68</v>
      </c>
      <c r="D31" s="1">
        <v>45759</v>
      </c>
      <c r="E31">
        <v>2288</v>
      </c>
      <c r="F31">
        <v>664</v>
      </c>
      <c r="G31">
        <v>57</v>
      </c>
      <c r="H31">
        <v>8856</v>
      </c>
    </row>
    <row r="32" spans="1:8" x14ac:dyDescent="0.35">
      <c r="A32" t="s">
        <v>69</v>
      </c>
      <c r="B32" t="s">
        <v>24</v>
      </c>
      <c r="C32" t="s">
        <v>70</v>
      </c>
      <c r="D32" s="1">
        <v>45760</v>
      </c>
      <c r="E32">
        <v>3490</v>
      </c>
      <c r="F32">
        <v>1929</v>
      </c>
      <c r="G32">
        <v>159</v>
      </c>
      <c r="H32">
        <v>16257</v>
      </c>
    </row>
    <row r="33" spans="1:8" x14ac:dyDescent="0.35">
      <c r="A33" t="s">
        <v>71</v>
      </c>
      <c r="B33" t="s">
        <v>18</v>
      </c>
      <c r="C33" t="s">
        <v>72</v>
      </c>
      <c r="D33" s="1">
        <v>45731</v>
      </c>
      <c r="E33">
        <v>1801</v>
      </c>
      <c r="F33">
        <v>1214</v>
      </c>
      <c r="G33">
        <v>189</v>
      </c>
      <c r="H33">
        <v>7537.5</v>
      </c>
    </row>
    <row r="34" spans="1:8" x14ac:dyDescent="0.35">
      <c r="A34" t="s">
        <v>73</v>
      </c>
      <c r="B34" t="s">
        <v>18</v>
      </c>
      <c r="C34" t="s">
        <v>74</v>
      </c>
      <c r="D34" s="1">
        <v>45720</v>
      </c>
      <c r="E34">
        <v>3961</v>
      </c>
      <c r="F34">
        <v>2800</v>
      </c>
      <c r="G34">
        <v>545</v>
      </c>
      <c r="H34">
        <v>16902.5</v>
      </c>
    </row>
    <row r="35" spans="1:8" x14ac:dyDescent="0.35">
      <c r="A35" t="s">
        <v>75</v>
      </c>
      <c r="B35" t="s">
        <v>32</v>
      </c>
      <c r="C35" t="s">
        <v>16</v>
      </c>
      <c r="D35" s="1">
        <v>45692</v>
      </c>
      <c r="E35">
        <v>4289</v>
      </c>
      <c r="F35">
        <v>3889</v>
      </c>
      <c r="G35">
        <v>324</v>
      </c>
      <c r="H35">
        <v>40890</v>
      </c>
    </row>
    <row r="36" spans="1:8" x14ac:dyDescent="0.35">
      <c r="A36" t="s">
        <v>76</v>
      </c>
      <c r="B36" t="s">
        <v>18</v>
      </c>
      <c r="C36" t="s">
        <v>77</v>
      </c>
      <c r="D36" s="1">
        <v>45720</v>
      </c>
      <c r="E36">
        <v>3475</v>
      </c>
      <c r="F36">
        <v>170</v>
      </c>
      <c r="G36">
        <v>19</v>
      </c>
      <c r="H36">
        <v>9112.5</v>
      </c>
    </row>
    <row r="37" spans="1:8" x14ac:dyDescent="0.35">
      <c r="A37" t="s">
        <v>78</v>
      </c>
      <c r="B37" t="s">
        <v>21</v>
      </c>
      <c r="C37" t="s">
        <v>79</v>
      </c>
      <c r="D37" s="1">
        <v>45825</v>
      </c>
      <c r="E37">
        <v>4355</v>
      </c>
      <c r="F37">
        <v>3003</v>
      </c>
      <c r="G37">
        <v>390</v>
      </c>
      <c r="H37">
        <v>29432</v>
      </c>
    </row>
    <row r="38" spans="1:8" x14ac:dyDescent="0.35">
      <c r="A38" t="s">
        <v>80</v>
      </c>
      <c r="B38" t="s">
        <v>9</v>
      </c>
      <c r="C38" t="s">
        <v>81</v>
      </c>
      <c r="D38" s="1">
        <v>45646</v>
      </c>
      <c r="E38">
        <v>2910</v>
      </c>
      <c r="F38">
        <v>2625</v>
      </c>
      <c r="G38">
        <v>74</v>
      </c>
      <c r="H38">
        <v>8302.5</v>
      </c>
    </row>
    <row r="39" spans="1:8" x14ac:dyDescent="0.35">
      <c r="A39" t="s">
        <v>82</v>
      </c>
      <c r="B39" t="s">
        <v>9</v>
      </c>
      <c r="C39" t="s">
        <v>83</v>
      </c>
      <c r="D39" s="1">
        <v>45638</v>
      </c>
      <c r="E39">
        <v>3263</v>
      </c>
      <c r="F39">
        <v>2250</v>
      </c>
      <c r="G39">
        <v>85</v>
      </c>
      <c r="H39">
        <v>8269.5</v>
      </c>
    </row>
    <row r="40" spans="1:8" x14ac:dyDescent="0.35">
      <c r="A40" t="s">
        <v>84</v>
      </c>
      <c r="B40" t="s">
        <v>32</v>
      </c>
      <c r="C40" t="s">
        <v>85</v>
      </c>
      <c r="D40" s="1">
        <v>45682</v>
      </c>
      <c r="E40">
        <v>2439</v>
      </c>
      <c r="F40">
        <v>86</v>
      </c>
      <c r="G40">
        <v>0</v>
      </c>
      <c r="H40">
        <v>12625</v>
      </c>
    </row>
    <row r="41" spans="1:8" x14ac:dyDescent="0.35">
      <c r="A41" t="s">
        <v>86</v>
      </c>
      <c r="B41" t="s">
        <v>32</v>
      </c>
      <c r="C41" t="s">
        <v>49</v>
      </c>
      <c r="D41" s="1">
        <v>45691</v>
      </c>
      <c r="E41">
        <v>4368</v>
      </c>
      <c r="F41">
        <v>733</v>
      </c>
      <c r="G41">
        <v>71</v>
      </c>
      <c r="H41">
        <v>25505</v>
      </c>
    </row>
    <row r="42" spans="1:8" x14ac:dyDescent="0.35">
      <c r="A42" t="s">
        <v>87</v>
      </c>
      <c r="B42" t="s">
        <v>21</v>
      </c>
      <c r="C42" t="s">
        <v>88</v>
      </c>
      <c r="D42" s="1">
        <v>45836</v>
      </c>
      <c r="E42">
        <v>3124</v>
      </c>
      <c r="F42">
        <v>1164</v>
      </c>
      <c r="G42">
        <v>99</v>
      </c>
      <c r="H42">
        <v>17152</v>
      </c>
    </row>
    <row r="43" spans="1:8" x14ac:dyDescent="0.35">
      <c r="A43" t="s">
        <v>89</v>
      </c>
      <c r="B43" t="s">
        <v>18</v>
      </c>
      <c r="C43" t="s">
        <v>90</v>
      </c>
      <c r="D43" s="1">
        <v>45718</v>
      </c>
      <c r="E43">
        <v>1217</v>
      </c>
      <c r="F43">
        <v>392</v>
      </c>
      <c r="G43">
        <v>56</v>
      </c>
      <c r="H43">
        <v>4022.5</v>
      </c>
    </row>
    <row r="44" spans="1:8" x14ac:dyDescent="0.35">
      <c r="A44" t="s">
        <v>91</v>
      </c>
      <c r="B44" t="s">
        <v>32</v>
      </c>
      <c r="C44" t="s">
        <v>92</v>
      </c>
      <c r="D44" s="1">
        <v>45681</v>
      </c>
      <c r="E44">
        <v>443</v>
      </c>
      <c r="F44">
        <v>330</v>
      </c>
      <c r="G44">
        <v>43</v>
      </c>
      <c r="H44">
        <v>3865</v>
      </c>
    </row>
    <row r="45" spans="1:8" x14ac:dyDescent="0.35">
      <c r="A45" t="s">
        <v>93</v>
      </c>
      <c r="B45" t="s">
        <v>18</v>
      </c>
      <c r="C45" t="s">
        <v>94</v>
      </c>
      <c r="D45" s="1">
        <v>45718</v>
      </c>
      <c r="E45">
        <v>2115</v>
      </c>
      <c r="F45">
        <v>1219</v>
      </c>
      <c r="G45">
        <v>164</v>
      </c>
      <c r="H45">
        <v>8335</v>
      </c>
    </row>
    <row r="46" spans="1:8" x14ac:dyDescent="0.35">
      <c r="A46" t="s">
        <v>95</v>
      </c>
      <c r="B46" t="s">
        <v>9</v>
      </c>
      <c r="C46" t="s">
        <v>96</v>
      </c>
      <c r="D46" s="1">
        <v>45629</v>
      </c>
      <c r="E46">
        <v>1540</v>
      </c>
      <c r="F46">
        <v>1088</v>
      </c>
      <c r="G46">
        <v>195</v>
      </c>
      <c r="H46">
        <v>3942</v>
      </c>
    </row>
    <row r="47" spans="1:8" x14ac:dyDescent="0.35">
      <c r="A47" t="s">
        <v>97</v>
      </c>
      <c r="B47" t="s">
        <v>18</v>
      </c>
      <c r="C47" t="s">
        <v>98</v>
      </c>
      <c r="D47" s="1">
        <v>45729</v>
      </c>
      <c r="E47">
        <v>4104</v>
      </c>
      <c r="F47">
        <v>3247</v>
      </c>
      <c r="G47">
        <v>524</v>
      </c>
      <c r="H47">
        <v>18377.5</v>
      </c>
    </row>
    <row r="48" spans="1:8" x14ac:dyDescent="0.35">
      <c r="A48" t="s">
        <v>99</v>
      </c>
      <c r="B48" t="s">
        <v>9</v>
      </c>
      <c r="C48" t="s">
        <v>100</v>
      </c>
      <c r="D48" s="1">
        <v>45632</v>
      </c>
      <c r="E48">
        <v>2810</v>
      </c>
      <c r="F48">
        <v>1960</v>
      </c>
      <c r="G48">
        <v>49</v>
      </c>
      <c r="H48">
        <v>7155</v>
      </c>
    </row>
    <row r="49" spans="1:8" x14ac:dyDescent="0.35">
      <c r="A49" t="s">
        <v>101</v>
      </c>
      <c r="B49" t="s">
        <v>18</v>
      </c>
      <c r="C49" t="s">
        <v>102</v>
      </c>
      <c r="D49" s="1">
        <v>45724</v>
      </c>
      <c r="E49">
        <v>3324</v>
      </c>
      <c r="F49">
        <v>677</v>
      </c>
      <c r="G49">
        <v>110</v>
      </c>
      <c r="H49">
        <v>10002.5</v>
      </c>
    </row>
    <row r="50" spans="1:8" x14ac:dyDescent="0.35">
      <c r="A50" t="s">
        <v>103</v>
      </c>
      <c r="B50" t="s">
        <v>24</v>
      </c>
      <c r="C50" t="s">
        <v>33</v>
      </c>
      <c r="D50" s="1">
        <v>45757</v>
      </c>
      <c r="E50">
        <v>4948</v>
      </c>
      <c r="F50">
        <v>4205</v>
      </c>
      <c r="G50">
        <v>185</v>
      </c>
      <c r="H50">
        <v>27459</v>
      </c>
    </row>
    <row r="51" spans="1:8" x14ac:dyDescent="0.35">
      <c r="A51" t="s">
        <v>104</v>
      </c>
      <c r="B51" t="s">
        <v>9</v>
      </c>
      <c r="C51" t="s">
        <v>105</v>
      </c>
      <c r="D51" s="1">
        <v>45642</v>
      </c>
      <c r="E51">
        <v>1204</v>
      </c>
      <c r="F51">
        <v>1055</v>
      </c>
      <c r="G51">
        <v>66</v>
      </c>
      <c r="H51">
        <v>3388.5</v>
      </c>
    </row>
    <row r="52" spans="1:8" x14ac:dyDescent="0.35">
      <c r="A52" t="s">
        <v>106</v>
      </c>
      <c r="B52" t="s">
        <v>32</v>
      </c>
      <c r="C52" t="s">
        <v>62</v>
      </c>
      <c r="D52" s="1">
        <v>45690</v>
      </c>
      <c r="E52">
        <v>686</v>
      </c>
      <c r="F52">
        <v>510</v>
      </c>
      <c r="G52">
        <v>15</v>
      </c>
      <c r="H52">
        <v>5980</v>
      </c>
    </row>
    <row r="53" spans="1:8" x14ac:dyDescent="0.35">
      <c r="A53" t="s">
        <v>107</v>
      </c>
      <c r="B53" t="s">
        <v>24</v>
      </c>
      <c r="C53" t="s">
        <v>108</v>
      </c>
      <c r="D53" s="1">
        <v>45768</v>
      </c>
      <c r="E53">
        <v>3360</v>
      </c>
      <c r="F53">
        <v>3262</v>
      </c>
      <c r="G53">
        <v>161</v>
      </c>
      <c r="H53">
        <v>19866</v>
      </c>
    </row>
    <row r="54" spans="1:8" x14ac:dyDescent="0.35">
      <c r="A54" t="s">
        <v>109</v>
      </c>
      <c r="B54" t="s">
        <v>9</v>
      </c>
      <c r="C54" t="s">
        <v>110</v>
      </c>
      <c r="D54" s="1">
        <v>45629</v>
      </c>
      <c r="E54">
        <v>1107</v>
      </c>
      <c r="F54">
        <v>114</v>
      </c>
      <c r="G54">
        <v>16</v>
      </c>
      <c r="H54">
        <v>1831.5</v>
      </c>
    </row>
    <row r="55" spans="1:8" x14ac:dyDescent="0.35">
      <c r="A55" t="s">
        <v>111</v>
      </c>
      <c r="B55" t="s">
        <v>32</v>
      </c>
      <c r="C55" t="s">
        <v>112</v>
      </c>
      <c r="D55" s="1">
        <v>45672</v>
      </c>
      <c r="E55">
        <v>4727</v>
      </c>
      <c r="F55">
        <v>3909</v>
      </c>
      <c r="G55">
        <v>402</v>
      </c>
      <c r="H55">
        <v>43180</v>
      </c>
    </row>
    <row r="56" spans="1:8" x14ac:dyDescent="0.35">
      <c r="A56" t="s">
        <v>113</v>
      </c>
      <c r="B56" t="s">
        <v>24</v>
      </c>
      <c r="C56" t="s">
        <v>114</v>
      </c>
      <c r="D56" s="1">
        <v>45763</v>
      </c>
      <c r="E56">
        <v>4553</v>
      </c>
      <c r="F56">
        <v>4279</v>
      </c>
      <c r="G56">
        <v>337</v>
      </c>
      <c r="H56">
        <v>26496</v>
      </c>
    </row>
    <row r="57" spans="1:8" x14ac:dyDescent="0.35">
      <c r="A57" t="s">
        <v>115</v>
      </c>
      <c r="B57" t="s">
        <v>18</v>
      </c>
      <c r="C57" t="s">
        <v>45</v>
      </c>
      <c r="D57" s="1">
        <v>45720</v>
      </c>
      <c r="E57">
        <v>3147</v>
      </c>
      <c r="F57">
        <v>1537</v>
      </c>
      <c r="G57">
        <v>158</v>
      </c>
      <c r="H57">
        <v>11710</v>
      </c>
    </row>
    <row r="58" spans="1:8" x14ac:dyDescent="0.35">
      <c r="A58" t="s">
        <v>116</v>
      </c>
      <c r="B58" t="s">
        <v>21</v>
      </c>
      <c r="C58" t="s">
        <v>22</v>
      </c>
      <c r="D58" s="1">
        <v>45831</v>
      </c>
      <c r="E58">
        <v>3422</v>
      </c>
      <c r="F58">
        <v>271</v>
      </c>
      <c r="G58">
        <v>30</v>
      </c>
      <c r="H58">
        <v>14772</v>
      </c>
    </row>
    <row r="59" spans="1:8" x14ac:dyDescent="0.35">
      <c r="A59" t="s">
        <v>117</v>
      </c>
      <c r="B59" t="s">
        <v>9</v>
      </c>
      <c r="C59" t="s">
        <v>118</v>
      </c>
      <c r="D59" s="1">
        <v>45631</v>
      </c>
      <c r="E59">
        <v>4428</v>
      </c>
      <c r="F59">
        <v>415</v>
      </c>
      <c r="G59">
        <v>53</v>
      </c>
      <c r="H59">
        <v>7264.5</v>
      </c>
    </row>
    <row r="60" spans="1:8" x14ac:dyDescent="0.35">
      <c r="A60" t="s">
        <v>119</v>
      </c>
      <c r="B60" t="s">
        <v>32</v>
      </c>
      <c r="C60" t="s">
        <v>120</v>
      </c>
      <c r="D60" s="1">
        <v>45672</v>
      </c>
      <c r="E60">
        <v>3478</v>
      </c>
      <c r="F60">
        <v>334</v>
      </c>
      <c r="G60">
        <v>18</v>
      </c>
      <c r="H60">
        <v>19060</v>
      </c>
    </row>
    <row r="61" spans="1:8" x14ac:dyDescent="0.35">
      <c r="A61" t="s">
        <v>121</v>
      </c>
      <c r="B61" t="s">
        <v>21</v>
      </c>
      <c r="C61" t="s">
        <v>122</v>
      </c>
      <c r="D61" s="1">
        <v>45826</v>
      </c>
      <c r="E61">
        <v>1547</v>
      </c>
      <c r="F61">
        <v>1368</v>
      </c>
      <c r="G61">
        <v>262</v>
      </c>
      <c r="H61">
        <v>11660</v>
      </c>
    </row>
    <row r="62" spans="1:8" x14ac:dyDescent="0.35">
      <c r="A62" t="s">
        <v>123</v>
      </c>
      <c r="B62" t="s">
        <v>21</v>
      </c>
      <c r="C62" t="s">
        <v>124</v>
      </c>
      <c r="D62" s="1">
        <v>45825</v>
      </c>
      <c r="E62">
        <v>2699</v>
      </c>
      <c r="F62">
        <v>1816</v>
      </c>
      <c r="G62">
        <v>88</v>
      </c>
      <c r="H62">
        <v>18060</v>
      </c>
    </row>
    <row r="63" spans="1:8" x14ac:dyDescent="0.35">
      <c r="A63" t="s">
        <v>125</v>
      </c>
      <c r="B63" t="s">
        <v>21</v>
      </c>
      <c r="C63" t="s">
        <v>81</v>
      </c>
      <c r="D63" s="1">
        <v>45830</v>
      </c>
      <c r="E63">
        <v>4834</v>
      </c>
      <c r="F63">
        <v>2303</v>
      </c>
      <c r="G63">
        <v>373</v>
      </c>
      <c r="H63">
        <v>28548</v>
      </c>
    </row>
    <row r="64" spans="1:8" x14ac:dyDescent="0.35">
      <c r="A64" t="s">
        <v>126</v>
      </c>
      <c r="B64" t="s">
        <v>9</v>
      </c>
      <c r="C64" t="s">
        <v>127</v>
      </c>
      <c r="D64" s="1">
        <v>45637</v>
      </c>
      <c r="E64">
        <v>563</v>
      </c>
      <c r="F64">
        <v>34</v>
      </c>
      <c r="G64">
        <v>2</v>
      </c>
      <c r="H64">
        <v>895.5</v>
      </c>
    </row>
    <row r="65" spans="1:8" x14ac:dyDescent="0.35">
      <c r="A65" t="s">
        <v>128</v>
      </c>
      <c r="B65" t="s">
        <v>24</v>
      </c>
      <c r="C65" t="s">
        <v>129</v>
      </c>
      <c r="D65" s="1">
        <v>45761</v>
      </c>
      <c r="E65">
        <v>1737</v>
      </c>
      <c r="F65">
        <v>306</v>
      </c>
      <c r="G65">
        <v>19</v>
      </c>
      <c r="H65">
        <v>6129</v>
      </c>
    </row>
    <row r="66" spans="1:8" x14ac:dyDescent="0.35">
      <c r="A66" t="s">
        <v>130</v>
      </c>
      <c r="B66" t="s">
        <v>9</v>
      </c>
      <c r="C66" t="s">
        <v>131</v>
      </c>
      <c r="D66" s="1">
        <v>45640</v>
      </c>
      <c r="E66">
        <v>1487</v>
      </c>
      <c r="F66">
        <v>765</v>
      </c>
      <c r="G66">
        <v>132</v>
      </c>
      <c r="H66">
        <v>3378</v>
      </c>
    </row>
    <row r="67" spans="1:8" x14ac:dyDescent="0.35">
      <c r="A67" t="s">
        <v>132</v>
      </c>
      <c r="B67" t="s">
        <v>21</v>
      </c>
      <c r="C67" t="s">
        <v>133</v>
      </c>
      <c r="D67" s="1">
        <v>45836</v>
      </c>
      <c r="E67">
        <v>2303</v>
      </c>
      <c r="F67">
        <v>609</v>
      </c>
      <c r="G67">
        <v>71</v>
      </c>
      <c r="H67">
        <v>11648</v>
      </c>
    </row>
    <row r="68" spans="1:8" x14ac:dyDescent="0.35">
      <c r="A68" t="s">
        <v>134</v>
      </c>
      <c r="B68" t="s">
        <v>21</v>
      </c>
      <c r="C68" t="s">
        <v>135</v>
      </c>
      <c r="D68" s="1">
        <v>45828</v>
      </c>
      <c r="E68">
        <v>3675</v>
      </c>
      <c r="F68">
        <v>2385</v>
      </c>
      <c r="G68">
        <v>233</v>
      </c>
      <c r="H68">
        <v>24240</v>
      </c>
    </row>
    <row r="69" spans="1:8" x14ac:dyDescent="0.35">
      <c r="A69" t="s">
        <v>136</v>
      </c>
      <c r="B69" t="s">
        <v>32</v>
      </c>
      <c r="C69" t="s">
        <v>137</v>
      </c>
      <c r="D69" s="1">
        <v>45692</v>
      </c>
      <c r="E69">
        <v>4196</v>
      </c>
      <c r="F69">
        <v>1846</v>
      </c>
      <c r="G69">
        <v>68</v>
      </c>
      <c r="H69">
        <v>30210</v>
      </c>
    </row>
    <row r="70" spans="1:8" x14ac:dyDescent="0.35">
      <c r="A70" t="s">
        <v>138</v>
      </c>
      <c r="B70" t="s">
        <v>18</v>
      </c>
      <c r="C70" t="s">
        <v>118</v>
      </c>
      <c r="D70" s="1">
        <v>45719</v>
      </c>
      <c r="E70">
        <v>893</v>
      </c>
      <c r="F70">
        <v>89</v>
      </c>
      <c r="G70">
        <v>6</v>
      </c>
      <c r="H70">
        <v>2455</v>
      </c>
    </row>
    <row r="71" spans="1:8" x14ac:dyDescent="0.35">
      <c r="A71" t="s">
        <v>139</v>
      </c>
      <c r="B71" t="s">
        <v>32</v>
      </c>
      <c r="C71" t="s">
        <v>140</v>
      </c>
      <c r="D71" s="1">
        <v>45692</v>
      </c>
      <c r="E71">
        <v>2470</v>
      </c>
      <c r="F71">
        <v>2087</v>
      </c>
      <c r="G71">
        <v>241</v>
      </c>
      <c r="H71">
        <v>22785</v>
      </c>
    </row>
    <row r="72" spans="1:8" x14ac:dyDescent="0.35">
      <c r="A72" t="s">
        <v>141</v>
      </c>
      <c r="B72" t="s">
        <v>32</v>
      </c>
      <c r="C72" t="s">
        <v>16</v>
      </c>
      <c r="D72" s="1">
        <v>45674</v>
      </c>
      <c r="E72">
        <v>2534</v>
      </c>
      <c r="F72">
        <v>934</v>
      </c>
      <c r="G72">
        <v>78</v>
      </c>
      <c r="H72">
        <v>17340</v>
      </c>
    </row>
    <row r="73" spans="1:8" x14ac:dyDescent="0.35">
      <c r="A73" t="s">
        <v>142</v>
      </c>
      <c r="B73" t="s">
        <v>24</v>
      </c>
      <c r="C73" t="s">
        <v>16</v>
      </c>
      <c r="D73" s="1">
        <v>45768</v>
      </c>
      <c r="E73">
        <v>2512</v>
      </c>
      <c r="F73">
        <v>1567</v>
      </c>
      <c r="G73">
        <v>116</v>
      </c>
      <c r="H73">
        <v>12237</v>
      </c>
    </row>
    <row r="74" spans="1:8" x14ac:dyDescent="0.35">
      <c r="A74" t="s">
        <v>143</v>
      </c>
      <c r="B74" t="s">
        <v>24</v>
      </c>
      <c r="C74" t="s">
        <v>51</v>
      </c>
      <c r="D74" s="1">
        <v>45758</v>
      </c>
      <c r="E74">
        <v>2181</v>
      </c>
      <c r="F74">
        <v>194</v>
      </c>
      <c r="G74">
        <v>36</v>
      </c>
      <c r="H74">
        <v>7125</v>
      </c>
    </row>
    <row r="75" spans="1:8" x14ac:dyDescent="0.35">
      <c r="A75" t="s">
        <v>144</v>
      </c>
      <c r="B75" t="s">
        <v>18</v>
      </c>
      <c r="C75" t="s">
        <v>145</v>
      </c>
      <c r="D75" s="1">
        <v>45722</v>
      </c>
      <c r="E75">
        <v>2857</v>
      </c>
      <c r="F75">
        <v>1363</v>
      </c>
      <c r="G75">
        <v>67</v>
      </c>
      <c r="H75">
        <v>10550</v>
      </c>
    </row>
    <row r="76" spans="1:8" x14ac:dyDescent="0.35">
      <c r="A76" t="s">
        <v>146</v>
      </c>
      <c r="B76" t="s">
        <v>18</v>
      </c>
      <c r="C76" t="s">
        <v>147</v>
      </c>
      <c r="D76" s="1">
        <v>45731</v>
      </c>
      <c r="E76">
        <v>2375</v>
      </c>
      <c r="F76">
        <v>1050</v>
      </c>
      <c r="G76">
        <v>10</v>
      </c>
      <c r="H76">
        <v>8562.5</v>
      </c>
    </row>
    <row r="77" spans="1:8" x14ac:dyDescent="0.35">
      <c r="A77" t="s">
        <v>148</v>
      </c>
      <c r="B77" t="s">
        <v>21</v>
      </c>
      <c r="C77" t="s">
        <v>149</v>
      </c>
      <c r="D77" s="1">
        <v>45824</v>
      </c>
      <c r="E77">
        <v>2243</v>
      </c>
      <c r="F77">
        <v>1165</v>
      </c>
      <c r="G77">
        <v>8</v>
      </c>
      <c r="H77">
        <v>13632</v>
      </c>
    </row>
    <row r="78" spans="1:8" x14ac:dyDescent="0.35">
      <c r="A78" t="s">
        <v>150</v>
      </c>
      <c r="B78" t="s">
        <v>24</v>
      </c>
      <c r="C78" t="s">
        <v>151</v>
      </c>
      <c r="D78" s="1">
        <v>45767</v>
      </c>
      <c r="E78">
        <v>4707</v>
      </c>
      <c r="F78">
        <v>65</v>
      </c>
      <c r="G78">
        <v>1</v>
      </c>
      <c r="H78">
        <v>14316</v>
      </c>
    </row>
    <row r="79" spans="1:8" x14ac:dyDescent="0.35">
      <c r="A79" t="s">
        <v>152</v>
      </c>
      <c r="B79" t="s">
        <v>9</v>
      </c>
      <c r="C79" t="s">
        <v>153</v>
      </c>
      <c r="D79" s="1">
        <v>45639</v>
      </c>
      <c r="E79">
        <v>4216</v>
      </c>
      <c r="F79">
        <v>1731</v>
      </c>
      <c r="G79">
        <v>222</v>
      </c>
      <c r="H79">
        <v>8920.5</v>
      </c>
    </row>
    <row r="80" spans="1:8" x14ac:dyDescent="0.35">
      <c r="A80" t="s">
        <v>154</v>
      </c>
      <c r="B80" t="s">
        <v>9</v>
      </c>
      <c r="C80" t="s">
        <v>155</v>
      </c>
      <c r="D80" s="1">
        <v>45636</v>
      </c>
      <c r="E80">
        <v>4848</v>
      </c>
      <c r="F80">
        <v>1971</v>
      </c>
      <c r="G80">
        <v>258</v>
      </c>
      <c r="H80">
        <v>10228.5</v>
      </c>
    </row>
    <row r="81" spans="1:8" x14ac:dyDescent="0.35">
      <c r="A81" t="s">
        <v>156</v>
      </c>
      <c r="B81" t="s">
        <v>24</v>
      </c>
      <c r="C81" t="s">
        <v>74</v>
      </c>
      <c r="D81" s="1">
        <v>45761</v>
      </c>
      <c r="E81">
        <v>3494</v>
      </c>
      <c r="F81">
        <v>1031</v>
      </c>
      <c r="G81">
        <v>39</v>
      </c>
      <c r="H81">
        <v>13575</v>
      </c>
    </row>
    <row r="82" spans="1:8" x14ac:dyDescent="0.35">
      <c r="A82" t="s">
        <v>157</v>
      </c>
      <c r="B82" t="s">
        <v>9</v>
      </c>
      <c r="C82" t="s">
        <v>98</v>
      </c>
      <c r="D82" s="1">
        <v>45643</v>
      </c>
      <c r="E82">
        <v>1565</v>
      </c>
      <c r="F82">
        <v>689</v>
      </c>
      <c r="G82">
        <v>46</v>
      </c>
      <c r="H82">
        <v>3381</v>
      </c>
    </row>
    <row r="83" spans="1:8" x14ac:dyDescent="0.35">
      <c r="A83" t="s">
        <v>158</v>
      </c>
      <c r="B83" t="s">
        <v>18</v>
      </c>
      <c r="C83" t="s">
        <v>159</v>
      </c>
      <c r="D83" s="1">
        <v>45726</v>
      </c>
      <c r="E83">
        <v>1682</v>
      </c>
      <c r="F83">
        <v>65</v>
      </c>
      <c r="G83">
        <v>10</v>
      </c>
      <c r="H83">
        <v>4367.5</v>
      </c>
    </row>
    <row r="84" spans="1:8" x14ac:dyDescent="0.35">
      <c r="A84" t="s">
        <v>160</v>
      </c>
      <c r="B84" t="s">
        <v>21</v>
      </c>
      <c r="C84" t="s">
        <v>56</v>
      </c>
      <c r="D84" s="1">
        <v>45831</v>
      </c>
      <c r="E84">
        <v>1565</v>
      </c>
      <c r="F84">
        <v>19</v>
      </c>
      <c r="G84">
        <v>0</v>
      </c>
      <c r="H84">
        <v>6336</v>
      </c>
    </row>
    <row r="85" spans="1:8" x14ac:dyDescent="0.35">
      <c r="A85" t="s">
        <v>161</v>
      </c>
      <c r="B85" t="s">
        <v>24</v>
      </c>
      <c r="C85" t="s">
        <v>147</v>
      </c>
      <c r="D85" s="1">
        <v>45761</v>
      </c>
      <c r="E85">
        <v>1174</v>
      </c>
      <c r="F85">
        <v>742</v>
      </c>
      <c r="G85">
        <v>129</v>
      </c>
      <c r="H85">
        <v>5748</v>
      </c>
    </row>
    <row r="86" spans="1:8" x14ac:dyDescent="0.35">
      <c r="A86" t="s">
        <v>162</v>
      </c>
      <c r="B86" t="s">
        <v>18</v>
      </c>
      <c r="C86" t="s">
        <v>163</v>
      </c>
      <c r="D86" s="1">
        <v>45721</v>
      </c>
      <c r="E86">
        <v>1446</v>
      </c>
      <c r="F86">
        <v>172</v>
      </c>
      <c r="G86">
        <v>6</v>
      </c>
      <c r="H86">
        <v>4045</v>
      </c>
    </row>
    <row r="87" spans="1:8" x14ac:dyDescent="0.35">
      <c r="A87" t="s">
        <v>164</v>
      </c>
      <c r="B87" t="s">
        <v>32</v>
      </c>
      <c r="C87" t="s">
        <v>165</v>
      </c>
      <c r="D87" s="1">
        <v>45684</v>
      </c>
      <c r="E87">
        <v>3672</v>
      </c>
      <c r="F87">
        <v>2285</v>
      </c>
      <c r="G87">
        <v>98</v>
      </c>
      <c r="H87">
        <v>29785</v>
      </c>
    </row>
    <row r="88" spans="1:8" x14ac:dyDescent="0.35">
      <c r="A88" t="s">
        <v>166</v>
      </c>
      <c r="B88" t="s">
        <v>32</v>
      </c>
      <c r="C88" t="s">
        <v>12</v>
      </c>
      <c r="D88" s="1">
        <v>45685</v>
      </c>
      <c r="E88">
        <v>3339</v>
      </c>
      <c r="F88">
        <v>2874</v>
      </c>
      <c r="G88">
        <v>457</v>
      </c>
      <c r="H88">
        <v>31065</v>
      </c>
    </row>
    <row r="89" spans="1:8" x14ac:dyDescent="0.35">
      <c r="A89" t="s">
        <v>167</v>
      </c>
      <c r="B89" t="s">
        <v>18</v>
      </c>
      <c r="C89" t="s">
        <v>168</v>
      </c>
      <c r="D89" s="1">
        <v>45724</v>
      </c>
      <c r="E89">
        <v>2171</v>
      </c>
      <c r="F89">
        <v>1646</v>
      </c>
      <c r="G89">
        <v>196</v>
      </c>
      <c r="H89">
        <v>9542.5</v>
      </c>
    </row>
    <row r="90" spans="1:8" x14ac:dyDescent="0.35">
      <c r="A90" t="s">
        <v>169</v>
      </c>
      <c r="B90" t="s">
        <v>21</v>
      </c>
      <c r="C90" t="s">
        <v>170</v>
      </c>
      <c r="D90" s="1">
        <v>45826</v>
      </c>
      <c r="E90">
        <v>4867</v>
      </c>
      <c r="F90">
        <v>1184</v>
      </c>
      <c r="G90">
        <v>180</v>
      </c>
      <c r="H90">
        <v>24204</v>
      </c>
    </row>
    <row r="91" spans="1:8" x14ac:dyDescent="0.35">
      <c r="A91" t="s">
        <v>171</v>
      </c>
      <c r="B91" t="s">
        <v>21</v>
      </c>
      <c r="C91" t="s">
        <v>172</v>
      </c>
      <c r="D91" s="1">
        <v>45836</v>
      </c>
      <c r="E91">
        <v>687</v>
      </c>
      <c r="F91">
        <v>532</v>
      </c>
      <c r="G91">
        <v>106</v>
      </c>
      <c r="H91">
        <v>4876</v>
      </c>
    </row>
    <row r="92" spans="1:8" x14ac:dyDescent="0.35">
      <c r="A92" t="s">
        <v>173</v>
      </c>
      <c r="B92" t="s">
        <v>9</v>
      </c>
      <c r="C92" t="s">
        <v>174</v>
      </c>
      <c r="D92" s="1">
        <v>45645</v>
      </c>
      <c r="E92">
        <v>1094</v>
      </c>
      <c r="F92">
        <v>1067</v>
      </c>
      <c r="G92">
        <v>24</v>
      </c>
      <c r="H92">
        <v>3241.5</v>
      </c>
    </row>
    <row r="93" spans="1:8" x14ac:dyDescent="0.35">
      <c r="A93" t="s">
        <v>175</v>
      </c>
      <c r="B93" t="s">
        <v>32</v>
      </c>
      <c r="C93" t="s">
        <v>45</v>
      </c>
      <c r="D93" s="1">
        <v>45672</v>
      </c>
      <c r="E93">
        <v>3062</v>
      </c>
      <c r="F93">
        <v>2205</v>
      </c>
      <c r="G93">
        <v>268</v>
      </c>
      <c r="H93">
        <v>26335</v>
      </c>
    </row>
    <row r="94" spans="1:8" x14ac:dyDescent="0.35">
      <c r="A94" t="s">
        <v>176</v>
      </c>
      <c r="B94" t="s">
        <v>18</v>
      </c>
      <c r="C94" t="s">
        <v>177</v>
      </c>
      <c r="D94" s="1">
        <v>45730</v>
      </c>
      <c r="E94">
        <v>591</v>
      </c>
      <c r="F94">
        <v>263</v>
      </c>
      <c r="G94">
        <v>39</v>
      </c>
      <c r="H94">
        <v>2135</v>
      </c>
    </row>
    <row r="95" spans="1:8" x14ac:dyDescent="0.35">
      <c r="A95" t="s">
        <v>178</v>
      </c>
      <c r="B95" t="s">
        <v>9</v>
      </c>
      <c r="C95" t="s">
        <v>179</v>
      </c>
      <c r="D95" s="1">
        <v>45638</v>
      </c>
      <c r="E95">
        <v>722</v>
      </c>
      <c r="F95">
        <v>316</v>
      </c>
      <c r="G95">
        <v>28</v>
      </c>
      <c r="H95">
        <v>1557</v>
      </c>
    </row>
    <row r="96" spans="1:8" x14ac:dyDescent="0.35">
      <c r="A96" t="s">
        <v>180</v>
      </c>
      <c r="B96" t="s">
        <v>24</v>
      </c>
      <c r="C96" t="s">
        <v>72</v>
      </c>
      <c r="D96" s="1">
        <v>45757</v>
      </c>
      <c r="E96">
        <v>2675</v>
      </c>
      <c r="F96">
        <v>1437</v>
      </c>
      <c r="G96">
        <v>153</v>
      </c>
      <c r="H96">
        <v>12336</v>
      </c>
    </row>
    <row r="97" spans="1:8" x14ac:dyDescent="0.35">
      <c r="A97" t="s">
        <v>181</v>
      </c>
      <c r="B97" t="s">
        <v>24</v>
      </c>
      <c r="C97" t="s">
        <v>74</v>
      </c>
      <c r="D97" s="1">
        <v>45766</v>
      </c>
      <c r="E97">
        <v>4049</v>
      </c>
      <c r="F97">
        <v>1590</v>
      </c>
      <c r="G97">
        <v>176</v>
      </c>
      <c r="H97">
        <v>16917</v>
      </c>
    </row>
    <row r="98" spans="1:8" x14ac:dyDescent="0.35">
      <c r="A98" t="s">
        <v>182</v>
      </c>
      <c r="B98" t="s">
        <v>21</v>
      </c>
      <c r="C98" t="s">
        <v>147</v>
      </c>
      <c r="D98" s="1">
        <v>45833</v>
      </c>
      <c r="E98">
        <v>4987</v>
      </c>
      <c r="F98">
        <v>3776</v>
      </c>
      <c r="G98">
        <v>105</v>
      </c>
      <c r="H98">
        <v>35052</v>
      </c>
    </row>
    <row r="99" spans="1:8" x14ac:dyDescent="0.35">
      <c r="A99" t="s">
        <v>183</v>
      </c>
      <c r="B99" t="s">
        <v>32</v>
      </c>
      <c r="C99" t="s">
        <v>184</v>
      </c>
      <c r="D99" s="1">
        <v>45689</v>
      </c>
      <c r="E99">
        <v>4654</v>
      </c>
      <c r="F99">
        <v>3179</v>
      </c>
      <c r="G99">
        <v>394</v>
      </c>
      <c r="H99">
        <v>39165</v>
      </c>
    </row>
    <row r="100" spans="1:8" x14ac:dyDescent="0.35">
      <c r="A100" t="s">
        <v>185</v>
      </c>
      <c r="B100" t="s">
        <v>9</v>
      </c>
      <c r="C100" t="s">
        <v>159</v>
      </c>
      <c r="D100" s="1">
        <v>45631</v>
      </c>
      <c r="E100">
        <v>2900</v>
      </c>
      <c r="F100">
        <v>1065</v>
      </c>
      <c r="G100">
        <v>156</v>
      </c>
      <c r="H100">
        <v>5947.5</v>
      </c>
    </row>
    <row r="101" spans="1:8" x14ac:dyDescent="0.35">
      <c r="A101" t="s">
        <v>186</v>
      </c>
      <c r="B101" t="s">
        <v>24</v>
      </c>
      <c r="C101" t="s">
        <v>187</v>
      </c>
      <c r="D101" s="1">
        <v>45758</v>
      </c>
      <c r="E101">
        <v>3824</v>
      </c>
      <c r="F101">
        <v>3675</v>
      </c>
      <c r="G101">
        <v>61</v>
      </c>
      <c r="H101">
        <v>22497</v>
      </c>
    </row>
    <row r="102" spans="1:8" x14ac:dyDescent="0.35">
      <c r="A102" t="s">
        <v>188</v>
      </c>
      <c r="B102" t="s">
        <v>18</v>
      </c>
      <c r="C102" t="s">
        <v>81</v>
      </c>
      <c r="D102" s="1">
        <v>45721</v>
      </c>
      <c r="E102">
        <v>626</v>
      </c>
      <c r="F102">
        <v>494</v>
      </c>
      <c r="G102">
        <v>5</v>
      </c>
      <c r="H102">
        <v>2800</v>
      </c>
    </row>
    <row r="103" spans="1:8" x14ac:dyDescent="0.35">
      <c r="A103" t="s">
        <v>189</v>
      </c>
      <c r="B103" t="s">
        <v>24</v>
      </c>
      <c r="C103" t="s">
        <v>190</v>
      </c>
      <c r="D103" s="1">
        <v>45768</v>
      </c>
      <c r="E103">
        <v>3537</v>
      </c>
      <c r="F103">
        <v>184</v>
      </c>
      <c r="G103">
        <v>5</v>
      </c>
      <c r="H103">
        <v>11163</v>
      </c>
    </row>
    <row r="104" spans="1:8" x14ac:dyDescent="0.35">
      <c r="A104" t="s">
        <v>191</v>
      </c>
      <c r="B104" t="s">
        <v>24</v>
      </c>
      <c r="C104" t="s">
        <v>192</v>
      </c>
      <c r="D104" s="1">
        <v>45764</v>
      </c>
      <c r="E104">
        <v>1771</v>
      </c>
      <c r="F104">
        <v>432</v>
      </c>
      <c r="G104">
        <v>31</v>
      </c>
      <c r="H104">
        <v>6609</v>
      </c>
    </row>
    <row r="105" spans="1:8" x14ac:dyDescent="0.35">
      <c r="A105" t="s">
        <v>193</v>
      </c>
      <c r="B105" t="s">
        <v>18</v>
      </c>
      <c r="C105" t="s">
        <v>194</v>
      </c>
      <c r="D105" s="1">
        <v>45723</v>
      </c>
      <c r="E105">
        <v>3830</v>
      </c>
      <c r="F105">
        <v>2550</v>
      </c>
      <c r="G105">
        <v>227</v>
      </c>
      <c r="H105">
        <v>15950</v>
      </c>
    </row>
    <row r="106" spans="1:8" x14ac:dyDescent="0.35">
      <c r="A106" t="s">
        <v>195</v>
      </c>
      <c r="B106" t="s">
        <v>24</v>
      </c>
      <c r="C106" t="s">
        <v>153</v>
      </c>
      <c r="D106" s="1">
        <v>45766</v>
      </c>
      <c r="E106">
        <v>775</v>
      </c>
      <c r="F106">
        <v>571</v>
      </c>
      <c r="G106">
        <v>111</v>
      </c>
      <c r="H106">
        <v>4038</v>
      </c>
    </row>
    <row r="107" spans="1:8" x14ac:dyDescent="0.35">
      <c r="A107" t="s">
        <v>196</v>
      </c>
      <c r="B107" t="s">
        <v>21</v>
      </c>
      <c r="C107" t="s">
        <v>197</v>
      </c>
      <c r="D107" s="1">
        <v>45826</v>
      </c>
      <c r="E107">
        <v>337</v>
      </c>
      <c r="F107">
        <v>257</v>
      </c>
      <c r="G107">
        <v>30</v>
      </c>
      <c r="H107">
        <v>2376</v>
      </c>
    </row>
    <row r="108" spans="1:8" x14ac:dyDescent="0.35">
      <c r="A108" t="s">
        <v>198</v>
      </c>
      <c r="B108" t="s">
        <v>9</v>
      </c>
      <c r="C108" t="s">
        <v>199</v>
      </c>
      <c r="D108" s="1">
        <v>45628</v>
      </c>
      <c r="E108">
        <v>2275</v>
      </c>
      <c r="F108">
        <v>1911</v>
      </c>
      <c r="G108">
        <v>186</v>
      </c>
      <c r="H108">
        <v>6279</v>
      </c>
    </row>
    <row r="109" spans="1:8" x14ac:dyDescent="0.35">
      <c r="A109" t="s">
        <v>200</v>
      </c>
      <c r="B109" t="s">
        <v>18</v>
      </c>
      <c r="C109" t="s">
        <v>85</v>
      </c>
      <c r="D109" s="1">
        <v>45726</v>
      </c>
      <c r="E109">
        <v>3888</v>
      </c>
      <c r="F109">
        <v>2124</v>
      </c>
      <c r="G109">
        <v>374</v>
      </c>
      <c r="H109">
        <v>15030</v>
      </c>
    </row>
    <row r="110" spans="1:8" x14ac:dyDescent="0.35">
      <c r="A110" t="s">
        <v>201</v>
      </c>
      <c r="B110" t="s">
        <v>9</v>
      </c>
      <c r="C110" t="s">
        <v>202</v>
      </c>
      <c r="D110" s="1">
        <v>45640</v>
      </c>
      <c r="E110">
        <v>2247</v>
      </c>
      <c r="F110">
        <v>2005</v>
      </c>
      <c r="G110">
        <v>345</v>
      </c>
      <c r="H110">
        <v>6378</v>
      </c>
    </row>
    <row r="111" spans="1:8" x14ac:dyDescent="0.35">
      <c r="A111" t="s">
        <v>203</v>
      </c>
      <c r="B111" t="s">
        <v>9</v>
      </c>
      <c r="C111" t="s">
        <v>149</v>
      </c>
      <c r="D111" s="1">
        <v>45637</v>
      </c>
      <c r="E111">
        <v>4492</v>
      </c>
      <c r="F111">
        <v>4163</v>
      </c>
      <c r="G111">
        <v>337</v>
      </c>
      <c r="H111">
        <v>12982.5</v>
      </c>
    </row>
    <row r="112" spans="1:8" x14ac:dyDescent="0.35">
      <c r="A112" t="s">
        <v>204</v>
      </c>
      <c r="B112" t="s">
        <v>32</v>
      </c>
      <c r="C112" t="s">
        <v>22</v>
      </c>
      <c r="D112" s="1">
        <v>45673</v>
      </c>
      <c r="E112">
        <v>366</v>
      </c>
      <c r="F112">
        <v>260</v>
      </c>
      <c r="G112">
        <v>20</v>
      </c>
      <c r="H112">
        <v>3130</v>
      </c>
    </row>
    <row r="113" spans="1:8" x14ac:dyDescent="0.35">
      <c r="A113" t="s">
        <v>205</v>
      </c>
      <c r="B113" t="s">
        <v>18</v>
      </c>
      <c r="C113" t="s">
        <v>206</v>
      </c>
      <c r="D113" s="1">
        <v>45720</v>
      </c>
      <c r="E113">
        <v>1148</v>
      </c>
      <c r="F113">
        <v>264</v>
      </c>
      <c r="G113">
        <v>47</v>
      </c>
      <c r="H113">
        <v>3530</v>
      </c>
    </row>
    <row r="114" spans="1:8" x14ac:dyDescent="0.35">
      <c r="A114" t="s">
        <v>207</v>
      </c>
      <c r="B114" t="s">
        <v>21</v>
      </c>
      <c r="C114" t="s">
        <v>208</v>
      </c>
      <c r="D114" s="1">
        <v>45832</v>
      </c>
      <c r="E114">
        <v>4275</v>
      </c>
      <c r="F114">
        <v>2899</v>
      </c>
      <c r="G114">
        <v>91</v>
      </c>
      <c r="H114">
        <v>28696</v>
      </c>
    </row>
    <row r="115" spans="1:8" x14ac:dyDescent="0.35">
      <c r="A115" t="s">
        <v>209</v>
      </c>
      <c r="B115" t="s">
        <v>21</v>
      </c>
      <c r="C115" t="s">
        <v>12</v>
      </c>
      <c r="D115" s="1">
        <v>45827</v>
      </c>
      <c r="E115">
        <v>2443</v>
      </c>
      <c r="F115">
        <v>1869</v>
      </c>
      <c r="G115">
        <v>68</v>
      </c>
      <c r="H115">
        <v>17248</v>
      </c>
    </row>
    <row r="116" spans="1:8" x14ac:dyDescent="0.35">
      <c r="A116" t="s">
        <v>210</v>
      </c>
      <c r="B116" t="s">
        <v>18</v>
      </c>
      <c r="C116" t="s">
        <v>19</v>
      </c>
      <c r="D116" s="1">
        <v>45722</v>
      </c>
      <c r="E116">
        <v>1829</v>
      </c>
      <c r="F116">
        <v>1079</v>
      </c>
      <c r="G116">
        <v>75</v>
      </c>
      <c r="H116">
        <v>7270</v>
      </c>
    </row>
    <row r="117" spans="1:8" x14ac:dyDescent="0.35">
      <c r="A117" t="s">
        <v>211</v>
      </c>
      <c r="B117" t="s">
        <v>9</v>
      </c>
      <c r="C117" t="s">
        <v>212</v>
      </c>
      <c r="D117" s="1">
        <v>45639</v>
      </c>
      <c r="E117">
        <v>2628</v>
      </c>
      <c r="F117">
        <v>112</v>
      </c>
      <c r="G117">
        <v>5</v>
      </c>
      <c r="H117">
        <v>4110</v>
      </c>
    </row>
    <row r="118" spans="1:8" x14ac:dyDescent="0.35">
      <c r="A118" t="s">
        <v>213</v>
      </c>
      <c r="B118" t="s">
        <v>18</v>
      </c>
      <c r="C118" t="s">
        <v>37</v>
      </c>
      <c r="D118" s="1">
        <v>45717</v>
      </c>
      <c r="E118">
        <v>3538</v>
      </c>
      <c r="F118">
        <v>2335</v>
      </c>
      <c r="G118">
        <v>135</v>
      </c>
      <c r="H118">
        <v>14682.5</v>
      </c>
    </row>
    <row r="119" spans="1:8" x14ac:dyDescent="0.35">
      <c r="A119" t="s">
        <v>214</v>
      </c>
      <c r="B119" t="s">
        <v>32</v>
      </c>
      <c r="C119" t="s">
        <v>215</v>
      </c>
      <c r="D119" s="1">
        <v>45690</v>
      </c>
      <c r="E119">
        <v>3573</v>
      </c>
      <c r="F119">
        <v>3410</v>
      </c>
      <c r="G119">
        <v>575</v>
      </c>
      <c r="H119">
        <v>34915</v>
      </c>
    </row>
    <row r="120" spans="1:8" x14ac:dyDescent="0.35">
      <c r="A120" t="s">
        <v>216</v>
      </c>
      <c r="B120" t="s">
        <v>21</v>
      </c>
      <c r="C120" t="s">
        <v>217</v>
      </c>
      <c r="D120" s="1">
        <v>45826</v>
      </c>
      <c r="E120">
        <v>1891</v>
      </c>
      <c r="F120">
        <v>1300</v>
      </c>
      <c r="G120">
        <v>176</v>
      </c>
      <c r="H120">
        <v>12764</v>
      </c>
    </row>
    <row r="121" spans="1:8" x14ac:dyDescent="0.35">
      <c r="A121" t="s">
        <v>218</v>
      </c>
      <c r="B121" t="s">
        <v>18</v>
      </c>
      <c r="C121" t="s">
        <v>219</v>
      </c>
      <c r="D121" s="1">
        <v>45724</v>
      </c>
      <c r="E121">
        <v>374</v>
      </c>
      <c r="F121">
        <v>316</v>
      </c>
      <c r="G121">
        <v>22</v>
      </c>
      <c r="H121">
        <v>1725</v>
      </c>
    </row>
    <row r="122" spans="1:8" x14ac:dyDescent="0.35">
      <c r="A122" t="s">
        <v>220</v>
      </c>
      <c r="B122" t="s">
        <v>32</v>
      </c>
      <c r="C122" t="s">
        <v>221</v>
      </c>
      <c r="D122" s="1">
        <v>45682</v>
      </c>
      <c r="E122">
        <v>4076</v>
      </c>
      <c r="F122">
        <v>647</v>
      </c>
      <c r="G122">
        <v>50</v>
      </c>
      <c r="H122">
        <v>23615</v>
      </c>
    </row>
    <row r="123" spans="1:8" x14ac:dyDescent="0.35">
      <c r="A123" t="s">
        <v>222</v>
      </c>
      <c r="B123" t="s">
        <v>18</v>
      </c>
      <c r="C123" t="s">
        <v>98</v>
      </c>
      <c r="D123" s="1">
        <v>45721</v>
      </c>
      <c r="E123">
        <v>2453</v>
      </c>
      <c r="F123">
        <v>1533</v>
      </c>
      <c r="G123">
        <v>88</v>
      </c>
      <c r="H123">
        <v>9965</v>
      </c>
    </row>
    <row r="124" spans="1:8" x14ac:dyDescent="0.35">
      <c r="A124" t="s">
        <v>223</v>
      </c>
      <c r="B124" t="s">
        <v>9</v>
      </c>
      <c r="C124" t="s">
        <v>163</v>
      </c>
      <c r="D124" s="1">
        <v>45628</v>
      </c>
      <c r="E124">
        <v>1305</v>
      </c>
      <c r="F124">
        <v>759</v>
      </c>
      <c r="G124">
        <v>135</v>
      </c>
      <c r="H124">
        <v>3096</v>
      </c>
    </row>
    <row r="125" spans="1:8" x14ac:dyDescent="0.35">
      <c r="A125" t="s">
        <v>224</v>
      </c>
      <c r="B125" t="s">
        <v>9</v>
      </c>
      <c r="C125" t="s">
        <v>225</v>
      </c>
      <c r="D125" s="1">
        <v>45629</v>
      </c>
      <c r="E125">
        <v>2821</v>
      </c>
      <c r="F125">
        <v>1293</v>
      </c>
      <c r="G125">
        <v>17</v>
      </c>
      <c r="H125">
        <v>6171</v>
      </c>
    </row>
    <row r="126" spans="1:8" x14ac:dyDescent="0.35">
      <c r="A126" t="s">
        <v>226</v>
      </c>
      <c r="B126" t="s">
        <v>9</v>
      </c>
      <c r="C126" t="s">
        <v>227</v>
      </c>
      <c r="D126" s="1">
        <v>45630</v>
      </c>
      <c r="E126">
        <v>4939</v>
      </c>
      <c r="F126">
        <v>4196</v>
      </c>
      <c r="G126">
        <v>743</v>
      </c>
      <c r="H126">
        <v>13702.5</v>
      </c>
    </row>
    <row r="127" spans="1:8" x14ac:dyDescent="0.35">
      <c r="A127" t="s">
        <v>228</v>
      </c>
      <c r="B127" t="s">
        <v>21</v>
      </c>
      <c r="C127" t="s">
        <v>14</v>
      </c>
      <c r="D127" s="1">
        <v>45819</v>
      </c>
      <c r="E127">
        <v>1404</v>
      </c>
      <c r="F127">
        <v>652</v>
      </c>
      <c r="G127">
        <v>104</v>
      </c>
      <c r="H127">
        <v>8224</v>
      </c>
    </row>
    <row r="128" spans="1:8" x14ac:dyDescent="0.35">
      <c r="A128" t="s">
        <v>229</v>
      </c>
      <c r="B128" t="s">
        <v>18</v>
      </c>
      <c r="C128" t="s">
        <v>230</v>
      </c>
      <c r="D128" s="1">
        <v>45719</v>
      </c>
      <c r="E128">
        <v>1024</v>
      </c>
      <c r="F128">
        <v>95</v>
      </c>
      <c r="G128">
        <v>10</v>
      </c>
      <c r="H128">
        <v>2797.5</v>
      </c>
    </row>
    <row r="129" spans="1:8" x14ac:dyDescent="0.35">
      <c r="A129" t="s">
        <v>231</v>
      </c>
      <c r="B129" t="s">
        <v>24</v>
      </c>
      <c r="C129" t="s">
        <v>81</v>
      </c>
      <c r="D129" s="1">
        <v>45760</v>
      </c>
      <c r="E129">
        <v>3802</v>
      </c>
      <c r="F129">
        <v>702</v>
      </c>
      <c r="G129">
        <v>0</v>
      </c>
      <c r="H129">
        <v>13512</v>
      </c>
    </row>
    <row r="130" spans="1:8" x14ac:dyDescent="0.35">
      <c r="A130" t="s">
        <v>232</v>
      </c>
      <c r="B130" t="s">
        <v>24</v>
      </c>
      <c r="C130" t="s">
        <v>149</v>
      </c>
      <c r="D130" s="1">
        <v>45759</v>
      </c>
      <c r="E130">
        <v>2271</v>
      </c>
      <c r="F130">
        <v>297</v>
      </c>
      <c r="G130">
        <v>30</v>
      </c>
      <c r="H130">
        <v>7704</v>
      </c>
    </row>
    <row r="131" spans="1:8" x14ac:dyDescent="0.35">
      <c r="A131" t="s">
        <v>233</v>
      </c>
      <c r="B131" t="s">
        <v>9</v>
      </c>
      <c r="C131" t="s">
        <v>234</v>
      </c>
      <c r="D131" s="1">
        <v>45636</v>
      </c>
      <c r="E131">
        <v>2368</v>
      </c>
      <c r="F131">
        <v>1362</v>
      </c>
      <c r="G131">
        <v>270</v>
      </c>
      <c r="H131">
        <v>5595</v>
      </c>
    </row>
    <row r="132" spans="1:8" x14ac:dyDescent="0.35">
      <c r="A132" t="s">
        <v>235</v>
      </c>
      <c r="B132" t="s">
        <v>21</v>
      </c>
      <c r="C132" t="s">
        <v>194</v>
      </c>
      <c r="D132" s="1">
        <v>45820</v>
      </c>
      <c r="E132">
        <v>296</v>
      </c>
      <c r="F132">
        <v>151</v>
      </c>
      <c r="G132">
        <v>1</v>
      </c>
      <c r="H132">
        <v>1788</v>
      </c>
    </row>
    <row r="133" spans="1:8" x14ac:dyDescent="0.35">
      <c r="A133" t="s">
        <v>236</v>
      </c>
      <c r="B133" t="s">
        <v>21</v>
      </c>
      <c r="C133" t="s">
        <v>237</v>
      </c>
      <c r="D133" s="1">
        <v>45822</v>
      </c>
      <c r="E133">
        <v>1385</v>
      </c>
      <c r="F133">
        <v>599</v>
      </c>
      <c r="G133">
        <v>112</v>
      </c>
      <c r="H133">
        <v>7936</v>
      </c>
    </row>
    <row r="134" spans="1:8" x14ac:dyDescent="0.35">
      <c r="A134" t="s">
        <v>238</v>
      </c>
      <c r="B134" t="s">
        <v>32</v>
      </c>
      <c r="C134" t="s">
        <v>19</v>
      </c>
      <c r="D134" s="1">
        <v>45687</v>
      </c>
      <c r="E134">
        <v>2891</v>
      </c>
      <c r="F134">
        <v>1210</v>
      </c>
      <c r="G134">
        <v>142</v>
      </c>
      <c r="H134">
        <v>20505</v>
      </c>
    </row>
    <row r="135" spans="1:8" x14ac:dyDescent="0.35">
      <c r="A135" t="s">
        <v>239</v>
      </c>
      <c r="B135" t="s">
        <v>21</v>
      </c>
      <c r="C135" t="s">
        <v>170</v>
      </c>
      <c r="D135" s="1">
        <v>45828</v>
      </c>
      <c r="E135">
        <v>2682</v>
      </c>
      <c r="F135">
        <v>1042</v>
      </c>
      <c r="G135">
        <v>129</v>
      </c>
      <c r="H135">
        <v>14896</v>
      </c>
    </row>
    <row r="136" spans="1:8" x14ac:dyDescent="0.35">
      <c r="A136" t="s">
        <v>240</v>
      </c>
      <c r="B136" t="s">
        <v>18</v>
      </c>
      <c r="C136" t="s">
        <v>241</v>
      </c>
      <c r="D136" s="1">
        <v>45726</v>
      </c>
      <c r="E136">
        <v>2810</v>
      </c>
      <c r="F136">
        <v>2248</v>
      </c>
      <c r="G136">
        <v>444</v>
      </c>
      <c r="H136">
        <v>12645</v>
      </c>
    </row>
    <row r="137" spans="1:8" x14ac:dyDescent="0.35">
      <c r="A137" t="s">
        <v>242</v>
      </c>
      <c r="B137" t="s">
        <v>32</v>
      </c>
      <c r="C137" t="s">
        <v>112</v>
      </c>
      <c r="D137" s="1">
        <v>45689</v>
      </c>
      <c r="E137">
        <v>3585</v>
      </c>
      <c r="F137">
        <v>894</v>
      </c>
      <c r="G137">
        <v>84</v>
      </c>
      <c r="H137">
        <v>22395</v>
      </c>
    </row>
    <row r="138" spans="1:8" x14ac:dyDescent="0.35">
      <c r="A138" t="s">
        <v>243</v>
      </c>
      <c r="B138" t="s">
        <v>9</v>
      </c>
      <c r="C138" t="s">
        <v>244</v>
      </c>
      <c r="D138" s="1">
        <v>45640</v>
      </c>
      <c r="E138">
        <v>366</v>
      </c>
      <c r="F138">
        <v>359</v>
      </c>
      <c r="G138">
        <v>27</v>
      </c>
      <c r="H138">
        <v>1087.5</v>
      </c>
    </row>
    <row r="139" spans="1:8" x14ac:dyDescent="0.35">
      <c r="A139" t="s">
        <v>245</v>
      </c>
      <c r="B139" t="s">
        <v>18</v>
      </c>
      <c r="C139" t="s">
        <v>246</v>
      </c>
      <c r="D139" s="1">
        <v>45729</v>
      </c>
      <c r="E139">
        <v>819</v>
      </c>
      <c r="F139">
        <v>520</v>
      </c>
      <c r="G139">
        <v>95</v>
      </c>
      <c r="H139">
        <v>3347.5</v>
      </c>
    </row>
    <row r="140" spans="1:8" x14ac:dyDescent="0.35">
      <c r="A140" t="s">
        <v>247</v>
      </c>
      <c r="B140" t="s">
        <v>24</v>
      </c>
      <c r="C140" t="s">
        <v>49</v>
      </c>
      <c r="D140" s="1">
        <v>45768</v>
      </c>
      <c r="E140">
        <v>4888</v>
      </c>
      <c r="F140">
        <v>1855</v>
      </c>
      <c r="G140">
        <v>363</v>
      </c>
      <c r="H140">
        <v>20229</v>
      </c>
    </row>
    <row r="141" spans="1:8" x14ac:dyDescent="0.35">
      <c r="A141" t="s">
        <v>248</v>
      </c>
      <c r="B141" t="s">
        <v>9</v>
      </c>
      <c r="C141" t="s">
        <v>249</v>
      </c>
      <c r="D141" s="1">
        <v>45633</v>
      </c>
      <c r="E141">
        <v>741</v>
      </c>
      <c r="F141">
        <v>515</v>
      </c>
      <c r="G141">
        <v>55</v>
      </c>
      <c r="H141">
        <v>1884</v>
      </c>
    </row>
    <row r="142" spans="1:8" x14ac:dyDescent="0.35">
      <c r="A142" t="s">
        <v>250</v>
      </c>
      <c r="B142" t="s">
        <v>21</v>
      </c>
      <c r="C142" t="s">
        <v>217</v>
      </c>
      <c r="D142" s="1">
        <v>45831</v>
      </c>
      <c r="E142">
        <v>4503</v>
      </c>
      <c r="F142">
        <v>2265</v>
      </c>
      <c r="G142">
        <v>433</v>
      </c>
      <c r="H142">
        <v>27072</v>
      </c>
    </row>
    <row r="143" spans="1:8" x14ac:dyDescent="0.35">
      <c r="A143" t="s">
        <v>251</v>
      </c>
      <c r="B143" t="s">
        <v>24</v>
      </c>
      <c r="C143" t="s">
        <v>60</v>
      </c>
      <c r="D143" s="1">
        <v>45764</v>
      </c>
      <c r="E143">
        <v>1261</v>
      </c>
      <c r="F143">
        <v>173</v>
      </c>
      <c r="G143">
        <v>30</v>
      </c>
      <c r="H143">
        <v>4302</v>
      </c>
    </row>
    <row r="144" spans="1:8" x14ac:dyDescent="0.35">
      <c r="A144" t="s">
        <v>252</v>
      </c>
      <c r="B144" t="s">
        <v>18</v>
      </c>
      <c r="C144" t="s">
        <v>253</v>
      </c>
      <c r="D144" s="1">
        <v>45723</v>
      </c>
      <c r="E144">
        <v>4316</v>
      </c>
      <c r="F144">
        <v>3412</v>
      </c>
      <c r="G144">
        <v>133</v>
      </c>
      <c r="H144">
        <v>19320</v>
      </c>
    </row>
    <row r="145" spans="1:8" x14ac:dyDescent="0.35">
      <c r="A145" t="s">
        <v>254</v>
      </c>
      <c r="B145" t="s">
        <v>18</v>
      </c>
      <c r="C145" t="s">
        <v>199</v>
      </c>
      <c r="D145" s="1">
        <v>45720</v>
      </c>
      <c r="E145">
        <v>2176</v>
      </c>
      <c r="F145">
        <v>1331</v>
      </c>
      <c r="G145">
        <v>149</v>
      </c>
      <c r="H145">
        <v>8767.5</v>
      </c>
    </row>
    <row r="146" spans="1:8" x14ac:dyDescent="0.35">
      <c r="A146" t="s">
        <v>255</v>
      </c>
      <c r="B146" t="s">
        <v>18</v>
      </c>
      <c r="C146" t="s">
        <v>25</v>
      </c>
      <c r="D146" s="1">
        <v>45729</v>
      </c>
      <c r="E146">
        <v>3788</v>
      </c>
      <c r="F146">
        <v>1956</v>
      </c>
      <c r="G146">
        <v>9</v>
      </c>
      <c r="H146">
        <v>14360</v>
      </c>
    </row>
    <row r="147" spans="1:8" x14ac:dyDescent="0.35">
      <c r="A147" t="s">
        <v>256</v>
      </c>
      <c r="B147" t="s">
        <v>18</v>
      </c>
      <c r="C147" t="s">
        <v>85</v>
      </c>
      <c r="D147" s="1">
        <v>45722</v>
      </c>
      <c r="E147">
        <v>3394</v>
      </c>
      <c r="F147">
        <v>746</v>
      </c>
      <c r="G147">
        <v>22</v>
      </c>
      <c r="H147">
        <v>10350</v>
      </c>
    </row>
    <row r="148" spans="1:8" x14ac:dyDescent="0.35">
      <c r="A148" t="s">
        <v>257</v>
      </c>
      <c r="B148" t="s">
        <v>21</v>
      </c>
      <c r="C148" t="s">
        <v>137</v>
      </c>
      <c r="D148" s="1">
        <v>45834</v>
      </c>
      <c r="E148">
        <v>2826</v>
      </c>
      <c r="F148">
        <v>2704</v>
      </c>
      <c r="G148">
        <v>137</v>
      </c>
      <c r="H148">
        <v>22120</v>
      </c>
    </row>
    <row r="149" spans="1:8" x14ac:dyDescent="0.35">
      <c r="A149" t="s">
        <v>258</v>
      </c>
      <c r="B149" t="s">
        <v>18</v>
      </c>
      <c r="C149" t="s">
        <v>120</v>
      </c>
      <c r="D149" s="1">
        <v>45727</v>
      </c>
      <c r="E149">
        <v>1712</v>
      </c>
      <c r="F149">
        <v>980</v>
      </c>
      <c r="G149">
        <v>51</v>
      </c>
      <c r="H149">
        <v>6730</v>
      </c>
    </row>
    <row r="150" spans="1:8" x14ac:dyDescent="0.35">
      <c r="A150" t="s">
        <v>259</v>
      </c>
      <c r="B150" t="s">
        <v>9</v>
      </c>
      <c r="C150" t="s">
        <v>260</v>
      </c>
      <c r="D150" s="1">
        <v>45635</v>
      </c>
      <c r="E150">
        <v>1494</v>
      </c>
      <c r="F150">
        <v>797</v>
      </c>
      <c r="G150">
        <v>32</v>
      </c>
      <c r="H150">
        <v>3436.5</v>
      </c>
    </row>
    <row r="151" spans="1:8" x14ac:dyDescent="0.35">
      <c r="A151" t="s">
        <v>261</v>
      </c>
      <c r="B151" t="s">
        <v>18</v>
      </c>
      <c r="C151" t="s">
        <v>262</v>
      </c>
      <c r="D151" s="1">
        <v>45727</v>
      </c>
      <c r="E151">
        <v>3154</v>
      </c>
      <c r="F151">
        <v>1828</v>
      </c>
      <c r="G151">
        <v>170</v>
      </c>
      <c r="H151">
        <v>12455</v>
      </c>
    </row>
    <row r="152" spans="1:8" x14ac:dyDescent="0.35">
      <c r="A152" t="s">
        <v>263</v>
      </c>
      <c r="B152" t="s">
        <v>18</v>
      </c>
      <c r="C152" t="s">
        <v>49</v>
      </c>
      <c r="D152" s="1">
        <v>45724</v>
      </c>
      <c r="E152">
        <v>2894</v>
      </c>
      <c r="F152">
        <v>1478</v>
      </c>
      <c r="G152">
        <v>148</v>
      </c>
      <c r="H152">
        <v>10930</v>
      </c>
    </row>
    <row r="153" spans="1:8" x14ac:dyDescent="0.35">
      <c r="A153" t="s">
        <v>264</v>
      </c>
      <c r="B153" t="s">
        <v>21</v>
      </c>
      <c r="C153" t="s">
        <v>265</v>
      </c>
      <c r="D153" s="1">
        <v>45831</v>
      </c>
      <c r="E153">
        <v>3258</v>
      </c>
      <c r="F153">
        <v>3159</v>
      </c>
      <c r="G153">
        <v>537</v>
      </c>
      <c r="H153">
        <v>25668</v>
      </c>
    </row>
    <row r="154" spans="1:8" x14ac:dyDescent="0.35">
      <c r="A154" t="s">
        <v>266</v>
      </c>
      <c r="B154" t="s">
        <v>24</v>
      </c>
      <c r="C154" t="s">
        <v>33</v>
      </c>
      <c r="D154" s="1">
        <v>45764</v>
      </c>
      <c r="E154">
        <v>1088</v>
      </c>
      <c r="F154">
        <v>423</v>
      </c>
      <c r="G154">
        <v>70</v>
      </c>
      <c r="H154">
        <v>4533</v>
      </c>
    </row>
    <row r="155" spans="1:8" x14ac:dyDescent="0.35">
      <c r="A155" t="s">
        <v>267</v>
      </c>
      <c r="B155" t="s">
        <v>9</v>
      </c>
      <c r="C155" t="s">
        <v>268</v>
      </c>
      <c r="D155" s="1">
        <v>45633</v>
      </c>
      <c r="E155">
        <v>4137</v>
      </c>
      <c r="F155">
        <v>2629</v>
      </c>
      <c r="G155">
        <v>289</v>
      </c>
      <c r="H155">
        <v>10149</v>
      </c>
    </row>
    <row r="156" spans="1:8" x14ac:dyDescent="0.35">
      <c r="A156" t="s">
        <v>269</v>
      </c>
      <c r="B156" t="s">
        <v>9</v>
      </c>
      <c r="C156" t="s">
        <v>127</v>
      </c>
      <c r="D156" s="1">
        <v>45634</v>
      </c>
      <c r="E156">
        <v>374</v>
      </c>
      <c r="F156">
        <v>322</v>
      </c>
      <c r="G156">
        <v>29</v>
      </c>
      <c r="H156">
        <v>1044</v>
      </c>
    </row>
    <row r="157" spans="1:8" x14ac:dyDescent="0.35">
      <c r="A157" t="s">
        <v>270</v>
      </c>
      <c r="B157" t="s">
        <v>9</v>
      </c>
      <c r="C157" t="s">
        <v>271</v>
      </c>
      <c r="D157" s="1">
        <v>45639</v>
      </c>
      <c r="E157">
        <v>3215</v>
      </c>
      <c r="F157">
        <v>1000</v>
      </c>
      <c r="G157">
        <v>17</v>
      </c>
      <c r="H157">
        <v>6322.5</v>
      </c>
    </row>
    <row r="158" spans="1:8" x14ac:dyDescent="0.35">
      <c r="A158" t="s">
        <v>272</v>
      </c>
      <c r="B158" t="s">
        <v>32</v>
      </c>
      <c r="C158" t="s">
        <v>273</v>
      </c>
      <c r="D158" s="1">
        <v>45672</v>
      </c>
      <c r="E158">
        <v>3880</v>
      </c>
      <c r="F158">
        <v>1326</v>
      </c>
      <c r="G158">
        <v>179</v>
      </c>
      <c r="H158">
        <v>26030</v>
      </c>
    </row>
    <row r="159" spans="1:8" x14ac:dyDescent="0.35">
      <c r="A159" t="s">
        <v>274</v>
      </c>
      <c r="B159" t="s">
        <v>24</v>
      </c>
      <c r="C159" t="s">
        <v>275</v>
      </c>
      <c r="D159" s="1">
        <v>45768</v>
      </c>
      <c r="E159">
        <v>3639</v>
      </c>
      <c r="F159">
        <v>123</v>
      </c>
      <c r="G159">
        <v>9</v>
      </c>
      <c r="H159">
        <v>11286</v>
      </c>
    </row>
    <row r="160" spans="1:8" x14ac:dyDescent="0.35">
      <c r="A160" t="s">
        <v>276</v>
      </c>
      <c r="B160" t="s">
        <v>18</v>
      </c>
      <c r="C160" t="s">
        <v>145</v>
      </c>
      <c r="D160" s="1">
        <v>45726</v>
      </c>
      <c r="E160">
        <v>1595</v>
      </c>
      <c r="F160">
        <v>1547</v>
      </c>
      <c r="G160">
        <v>50</v>
      </c>
      <c r="H160">
        <v>7855</v>
      </c>
    </row>
    <row r="161" spans="1:8" x14ac:dyDescent="0.35">
      <c r="A161" t="s">
        <v>277</v>
      </c>
      <c r="B161" t="s">
        <v>32</v>
      </c>
      <c r="C161" t="s">
        <v>174</v>
      </c>
      <c r="D161" s="1">
        <v>45691</v>
      </c>
      <c r="E161">
        <v>1123</v>
      </c>
      <c r="F161">
        <v>910</v>
      </c>
      <c r="G161">
        <v>20</v>
      </c>
      <c r="H161">
        <v>10165</v>
      </c>
    </row>
    <row r="162" spans="1:8" x14ac:dyDescent="0.35">
      <c r="A162" t="s">
        <v>278</v>
      </c>
      <c r="B162" t="s">
        <v>9</v>
      </c>
      <c r="C162" t="s">
        <v>279</v>
      </c>
      <c r="D162" s="1">
        <v>45635</v>
      </c>
      <c r="E162">
        <v>2499</v>
      </c>
      <c r="F162">
        <v>2480</v>
      </c>
      <c r="G162">
        <v>330</v>
      </c>
      <c r="H162">
        <v>7468.5</v>
      </c>
    </row>
    <row r="163" spans="1:8" x14ac:dyDescent="0.35">
      <c r="A163" t="s">
        <v>280</v>
      </c>
      <c r="B163" t="s">
        <v>32</v>
      </c>
      <c r="C163" t="s">
        <v>165</v>
      </c>
      <c r="D163" s="1">
        <v>45687</v>
      </c>
      <c r="E163">
        <v>3571</v>
      </c>
      <c r="F163">
        <v>2642</v>
      </c>
      <c r="G163">
        <v>360</v>
      </c>
      <c r="H163">
        <v>31065</v>
      </c>
    </row>
    <row r="164" spans="1:8" x14ac:dyDescent="0.35">
      <c r="A164" t="s">
        <v>281</v>
      </c>
      <c r="B164" t="s">
        <v>24</v>
      </c>
      <c r="C164" t="s">
        <v>28</v>
      </c>
      <c r="D164" s="1">
        <v>45772</v>
      </c>
      <c r="E164">
        <v>4025</v>
      </c>
      <c r="F164">
        <v>3713</v>
      </c>
      <c r="G164">
        <v>449</v>
      </c>
      <c r="H164">
        <v>23214</v>
      </c>
    </row>
    <row r="165" spans="1:8" x14ac:dyDescent="0.35">
      <c r="A165" t="s">
        <v>282</v>
      </c>
      <c r="B165" t="s">
        <v>9</v>
      </c>
      <c r="C165" t="s">
        <v>283</v>
      </c>
      <c r="D165" s="1">
        <v>45638</v>
      </c>
      <c r="E165">
        <v>189</v>
      </c>
      <c r="F165">
        <v>81</v>
      </c>
      <c r="G165">
        <v>16</v>
      </c>
      <c r="H165">
        <v>405</v>
      </c>
    </row>
    <row r="166" spans="1:8" x14ac:dyDescent="0.35">
      <c r="A166" t="s">
        <v>284</v>
      </c>
      <c r="B166" t="s">
        <v>32</v>
      </c>
      <c r="C166" t="s">
        <v>285</v>
      </c>
      <c r="D166" s="1">
        <v>45674</v>
      </c>
      <c r="E166">
        <v>761</v>
      </c>
      <c r="F166">
        <v>157</v>
      </c>
      <c r="G166">
        <v>3</v>
      </c>
      <c r="H166">
        <v>4590</v>
      </c>
    </row>
    <row r="167" spans="1:8" x14ac:dyDescent="0.35">
      <c r="A167" t="s">
        <v>286</v>
      </c>
      <c r="B167" t="s">
        <v>24</v>
      </c>
      <c r="C167" t="s">
        <v>98</v>
      </c>
      <c r="D167" s="1">
        <v>45771</v>
      </c>
      <c r="E167">
        <v>3892</v>
      </c>
      <c r="F167">
        <v>2325</v>
      </c>
      <c r="G167">
        <v>315</v>
      </c>
      <c r="H167">
        <v>18651</v>
      </c>
    </row>
    <row r="168" spans="1:8" x14ac:dyDescent="0.35">
      <c r="A168" t="s">
        <v>287</v>
      </c>
      <c r="B168" t="s">
        <v>32</v>
      </c>
      <c r="C168" t="s">
        <v>192</v>
      </c>
      <c r="D168" s="1">
        <v>45683</v>
      </c>
      <c r="E168">
        <v>1953</v>
      </c>
      <c r="F168">
        <v>1920</v>
      </c>
      <c r="G168">
        <v>357</v>
      </c>
      <c r="H168">
        <v>19365</v>
      </c>
    </row>
    <row r="169" spans="1:8" x14ac:dyDescent="0.35">
      <c r="A169" t="s">
        <v>288</v>
      </c>
      <c r="B169" t="s">
        <v>9</v>
      </c>
      <c r="C169" t="s">
        <v>151</v>
      </c>
      <c r="D169" s="1">
        <v>45627</v>
      </c>
      <c r="E169">
        <v>4572</v>
      </c>
      <c r="F169">
        <v>1720</v>
      </c>
      <c r="G169">
        <v>261</v>
      </c>
      <c r="H169">
        <v>9438</v>
      </c>
    </row>
    <row r="170" spans="1:8" x14ac:dyDescent="0.35">
      <c r="A170" t="s">
        <v>289</v>
      </c>
      <c r="B170" t="s">
        <v>9</v>
      </c>
      <c r="C170" t="s">
        <v>290</v>
      </c>
      <c r="D170" s="1">
        <v>45638</v>
      </c>
      <c r="E170">
        <v>1331</v>
      </c>
      <c r="F170">
        <v>205</v>
      </c>
      <c r="G170">
        <v>18</v>
      </c>
      <c r="H170">
        <v>2304</v>
      </c>
    </row>
    <row r="171" spans="1:8" x14ac:dyDescent="0.35">
      <c r="A171" t="s">
        <v>291</v>
      </c>
      <c r="B171" t="s">
        <v>18</v>
      </c>
      <c r="C171" t="s">
        <v>292</v>
      </c>
      <c r="D171" s="1">
        <v>45725</v>
      </c>
      <c r="E171">
        <v>1434</v>
      </c>
      <c r="F171">
        <v>1431</v>
      </c>
      <c r="G171">
        <v>191</v>
      </c>
      <c r="H171">
        <v>7162.5</v>
      </c>
    </row>
    <row r="172" spans="1:8" x14ac:dyDescent="0.35">
      <c r="A172" t="s">
        <v>293</v>
      </c>
      <c r="B172" t="s">
        <v>24</v>
      </c>
      <c r="C172" t="s">
        <v>294</v>
      </c>
      <c r="D172" s="1">
        <v>45770</v>
      </c>
      <c r="E172">
        <v>2988</v>
      </c>
      <c r="F172">
        <v>2145</v>
      </c>
      <c r="G172">
        <v>261</v>
      </c>
      <c r="H172">
        <v>15399</v>
      </c>
    </row>
    <row r="173" spans="1:8" x14ac:dyDescent="0.35">
      <c r="A173" t="s">
        <v>295</v>
      </c>
      <c r="B173" t="s">
        <v>24</v>
      </c>
      <c r="C173" t="s">
        <v>296</v>
      </c>
      <c r="D173" s="1">
        <v>45760</v>
      </c>
      <c r="E173">
        <v>4613</v>
      </c>
      <c r="F173">
        <v>2939</v>
      </c>
      <c r="G173">
        <v>359</v>
      </c>
      <c r="H173">
        <v>22656</v>
      </c>
    </row>
    <row r="174" spans="1:8" x14ac:dyDescent="0.35">
      <c r="A174" t="s">
        <v>297</v>
      </c>
      <c r="B174" t="s">
        <v>21</v>
      </c>
      <c r="C174" t="s">
        <v>37</v>
      </c>
      <c r="D174" s="1">
        <v>45838</v>
      </c>
      <c r="E174">
        <v>4667</v>
      </c>
      <c r="F174">
        <v>2317</v>
      </c>
      <c r="G174">
        <v>184</v>
      </c>
      <c r="H174">
        <v>27936</v>
      </c>
    </row>
    <row r="175" spans="1:8" x14ac:dyDescent="0.35">
      <c r="A175" t="s">
        <v>298</v>
      </c>
      <c r="B175" t="s">
        <v>21</v>
      </c>
      <c r="C175" t="s">
        <v>299</v>
      </c>
      <c r="D175" s="1">
        <v>45834</v>
      </c>
      <c r="E175">
        <v>2822</v>
      </c>
      <c r="F175">
        <v>2210</v>
      </c>
      <c r="G175">
        <v>260</v>
      </c>
      <c r="H175">
        <v>20128</v>
      </c>
    </row>
    <row r="176" spans="1:8" x14ac:dyDescent="0.35">
      <c r="A176" t="s">
        <v>300</v>
      </c>
      <c r="B176" t="s">
        <v>21</v>
      </c>
      <c r="C176" t="s">
        <v>301</v>
      </c>
      <c r="D176" s="1">
        <v>45838</v>
      </c>
      <c r="E176">
        <v>3244</v>
      </c>
      <c r="F176">
        <v>3133</v>
      </c>
      <c r="G176">
        <v>63</v>
      </c>
      <c r="H176">
        <v>25508</v>
      </c>
    </row>
    <row r="177" spans="1:8" x14ac:dyDescent="0.35">
      <c r="A177" t="s">
        <v>302</v>
      </c>
      <c r="B177" t="s">
        <v>32</v>
      </c>
      <c r="C177" t="s">
        <v>303</v>
      </c>
      <c r="D177" s="1">
        <v>45682</v>
      </c>
      <c r="E177">
        <v>4963</v>
      </c>
      <c r="F177">
        <v>1049</v>
      </c>
      <c r="G177">
        <v>131</v>
      </c>
      <c r="H177">
        <v>30060</v>
      </c>
    </row>
    <row r="178" spans="1:8" x14ac:dyDescent="0.35">
      <c r="A178" t="s">
        <v>304</v>
      </c>
      <c r="B178" t="s">
        <v>9</v>
      </c>
      <c r="C178" t="s">
        <v>305</v>
      </c>
      <c r="D178" s="1">
        <v>45635</v>
      </c>
      <c r="E178">
        <v>1027</v>
      </c>
      <c r="F178">
        <v>551</v>
      </c>
      <c r="G178">
        <v>19</v>
      </c>
      <c r="H178">
        <v>2367</v>
      </c>
    </row>
    <row r="179" spans="1:8" x14ac:dyDescent="0.35">
      <c r="A179" t="s">
        <v>306</v>
      </c>
      <c r="B179" t="s">
        <v>32</v>
      </c>
      <c r="C179" t="s">
        <v>307</v>
      </c>
      <c r="D179" s="1">
        <v>45691</v>
      </c>
      <c r="E179">
        <v>2148</v>
      </c>
      <c r="F179">
        <v>339</v>
      </c>
      <c r="G179">
        <v>7</v>
      </c>
      <c r="H179">
        <v>12435</v>
      </c>
    </row>
    <row r="180" spans="1:8" x14ac:dyDescent="0.35">
      <c r="A180" t="s">
        <v>308</v>
      </c>
      <c r="B180" t="s">
        <v>21</v>
      </c>
      <c r="C180" t="s">
        <v>309</v>
      </c>
      <c r="D180" s="1">
        <v>45822</v>
      </c>
      <c r="E180">
        <v>461</v>
      </c>
      <c r="F180">
        <v>302</v>
      </c>
      <c r="G180">
        <v>28</v>
      </c>
      <c r="H180">
        <v>3052</v>
      </c>
    </row>
    <row r="181" spans="1:8" x14ac:dyDescent="0.35">
      <c r="A181" t="s">
        <v>310</v>
      </c>
      <c r="B181" t="s">
        <v>18</v>
      </c>
      <c r="C181" t="s">
        <v>168</v>
      </c>
      <c r="D181" s="1">
        <v>45723</v>
      </c>
      <c r="E181">
        <v>3751</v>
      </c>
      <c r="F181">
        <v>917</v>
      </c>
      <c r="G181">
        <v>98</v>
      </c>
      <c r="H181">
        <v>11670</v>
      </c>
    </row>
    <row r="182" spans="1:8" x14ac:dyDescent="0.35">
      <c r="A182" t="s">
        <v>311</v>
      </c>
      <c r="B182" t="s">
        <v>24</v>
      </c>
      <c r="C182" t="s">
        <v>312</v>
      </c>
      <c r="D182" s="1">
        <v>45765</v>
      </c>
      <c r="E182">
        <v>4198</v>
      </c>
      <c r="F182">
        <v>1888</v>
      </c>
      <c r="G182">
        <v>207</v>
      </c>
      <c r="H182">
        <v>18258</v>
      </c>
    </row>
    <row r="183" spans="1:8" x14ac:dyDescent="0.35">
      <c r="A183" t="s">
        <v>313</v>
      </c>
      <c r="B183" t="s">
        <v>21</v>
      </c>
      <c r="C183" t="s">
        <v>314</v>
      </c>
      <c r="D183" s="1">
        <v>45826</v>
      </c>
      <c r="E183">
        <v>1433</v>
      </c>
      <c r="F183">
        <v>261</v>
      </c>
      <c r="G183">
        <v>24</v>
      </c>
      <c r="H183">
        <v>6776</v>
      </c>
    </row>
    <row r="184" spans="1:8" x14ac:dyDescent="0.35">
      <c r="A184" t="s">
        <v>315</v>
      </c>
      <c r="B184" t="s">
        <v>21</v>
      </c>
      <c r="C184" t="s">
        <v>159</v>
      </c>
      <c r="D184" s="1">
        <v>45831</v>
      </c>
      <c r="E184">
        <v>952</v>
      </c>
      <c r="F184">
        <v>714</v>
      </c>
      <c r="G184">
        <v>34</v>
      </c>
      <c r="H184">
        <v>6664</v>
      </c>
    </row>
    <row r="185" spans="1:8" x14ac:dyDescent="0.35">
      <c r="A185" t="s">
        <v>316</v>
      </c>
      <c r="B185" t="s">
        <v>32</v>
      </c>
      <c r="C185" t="s">
        <v>317</v>
      </c>
      <c r="D185" s="1">
        <v>45689</v>
      </c>
      <c r="E185">
        <v>1283</v>
      </c>
      <c r="F185">
        <v>1054</v>
      </c>
      <c r="G185">
        <v>26</v>
      </c>
      <c r="H185">
        <v>11685</v>
      </c>
    </row>
    <row r="186" spans="1:8" x14ac:dyDescent="0.35">
      <c r="A186" t="s">
        <v>318</v>
      </c>
      <c r="B186" t="s">
        <v>18</v>
      </c>
      <c r="C186" t="s">
        <v>307</v>
      </c>
      <c r="D186" s="1">
        <v>45729</v>
      </c>
      <c r="E186">
        <v>685</v>
      </c>
      <c r="F186">
        <v>354</v>
      </c>
      <c r="G186">
        <v>15</v>
      </c>
      <c r="H186">
        <v>2597.5</v>
      </c>
    </row>
    <row r="187" spans="1:8" x14ac:dyDescent="0.35">
      <c r="A187" t="s">
        <v>319</v>
      </c>
      <c r="B187" t="s">
        <v>32</v>
      </c>
      <c r="C187" t="s">
        <v>127</v>
      </c>
      <c r="D187" s="1">
        <v>45674</v>
      </c>
      <c r="E187">
        <v>4221</v>
      </c>
      <c r="F187">
        <v>867</v>
      </c>
      <c r="G187">
        <v>134</v>
      </c>
      <c r="H187">
        <v>25440</v>
      </c>
    </row>
    <row r="188" spans="1:8" x14ac:dyDescent="0.35">
      <c r="A188" t="s">
        <v>320</v>
      </c>
      <c r="B188" t="s">
        <v>9</v>
      </c>
      <c r="C188" t="s">
        <v>79</v>
      </c>
      <c r="D188" s="1">
        <v>45630</v>
      </c>
      <c r="E188">
        <v>964</v>
      </c>
      <c r="F188">
        <v>763</v>
      </c>
      <c r="G188">
        <v>145</v>
      </c>
      <c r="H188">
        <v>2590.5</v>
      </c>
    </row>
    <row r="189" spans="1:8" x14ac:dyDescent="0.35">
      <c r="A189" t="s">
        <v>321</v>
      </c>
      <c r="B189" t="s">
        <v>24</v>
      </c>
      <c r="C189" t="s">
        <v>322</v>
      </c>
      <c r="D189" s="1">
        <v>45770</v>
      </c>
      <c r="E189">
        <v>4468</v>
      </c>
      <c r="F189">
        <v>143</v>
      </c>
      <c r="G189">
        <v>0</v>
      </c>
      <c r="H189">
        <v>13833</v>
      </c>
    </row>
    <row r="190" spans="1:8" x14ac:dyDescent="0.35">
      <c r="A190" t="s">
        <v>323</v>
      </c>
      <c r="B190" t="s">
        <v>18</v>
      </c>
      <c r="C190" t="s">
        <v>324</v>
      </c>
      <c r="D190" s="1">
        <v>45721</v>
      </c>
      <c r="E190">
        <v>3733</v>
      </c>
      <c r="F190">
        <v>2371</v>
      </c>
      <c r="G190">
        <v>65</v>
      </c>
      <c r="H190">
        <v>15260</v>
      </c>
    </row>
    <row r="191" spans="1:8" x14ac:dyDescent="0.35">
      <c r="A191" t="s">
        <v>325</v>
      </c>
      <c r="B191" t="s">
        <v>24</v>
      </c>
      <c r="C191" t="s">
        <v>237</v>
      </c>
      <c r="D191" s="1">
        <v>45767</v>
      </c>
      <c r="E191">
        <v>4859</v>
      </c>
      <c r="F191">
        <v>1710</v>
      </c>
      <c r="G191">
        <v>62</v>
      </c>
      <c r="H191">
        <v>19707</v>
      </c>
    </row>
    <row r="192" spans="1:8" x14ac:dyDescent="0.35">
      <c r="A192" t="s">
        <v>326</v>
      </c>
      <c r="B192" t="s">
        <v>9</v>
      </c>
      <c r="C192" t="s">
        <v>322</v>
      </c>
      <c r="D192" s="1">
        <v>45634</v>
      </c>
      <c r="E192">
        <v>3795</v>
      </c>
      <c r="F192">
        <v>3406</v>
      </c>
      <c r="G192">
        <v>190</v>
      </c>
      <c r="H192">
        <v>10801.5</v>
      </c>
    </row>
    <row r="193" spans="1:8" x14ac:dyDescent="0.35">
      <c r="A193" t="s">
        <v>327</v>
      </c>
      <c r="B193" t="s">
        <v>21</v>
      </c>
      <c r="C193" t="s">
        <v>105</v>
      </c>
      <c r="D193" s="1">
        <v>45831</v>
      </c>
      <c r="E193">
        <v>1171</v>
      </c>
      <c r="F193">
        <v>956</v>
      </c>
      <c r="G193">
        <v>122</v>
      </c>
      <c r="H193">
        <v>8508</v>
      </c>
    </row>
    <row r="194" spans="1:8" x14ac:dyDescent="0.35">
      <c r="A194" t="s">
        <v>328</v>
      </c>
      <c r="B194" t="s">
        <v>9</v>
      </c>
      <c r="C194" t="s">
        <v>51</v>
      </c>
      <c r="D194" s="1">
        <v>45638</v>
      </c>
      <c r="E194">
        <v>853</v>
      </c>
      <c r="F194">
        <v>603</v>
      </c>
      <c r="G194">
        <v>50</v>
      </c>
      <c r="H194">
        <v>2184</v>
      </c>
    </row>
    <row r="195" spans="1:8" x14ac:dyDescent="0.35">
      <c r="A195" t="s">
        <v>329</v>
      </c>
      <c r="B195" t="s">
        <v>24</v>
      </c>
      <c r="C195" t="s">
        <v>187</v>
      </c>
      <c r="D195" s="1">
        <v>45757</v>
      </c>
      <c r="E195">
        <v>1797</v>
      </c>
      <c r="F195">
        <v>293</v>
      </c>
      <c r="G195">
        <v>5</v>
      </c>
      <c r="H195">
        <v>6270</v>
      </c>
    </row>
    <row r="196" spans="1:8" x14ac:dyDescent="0.35">
      <c r="A196" t="s">
        <v>330</v>
      </c>
      <c r="B196" t="s">
        <v>9</v>
      </c>
      <c r="C196" t="s">
        <v>331</v>
      </c>
      <c r="D196" s="1">
        <v>45632</v>
      </c>
      <c r="E196">
        <v>2338</v>
      </c>
      <c r="F196">
        <v>1070</v>
      </c>
      <c r="G196">
        <v>19</v>
      </c>
      <c r="H196">
        <v>5112</v>
      </c>
    </row>
    <row r="197" spans="1:8" x14ac:dyDescent="0.35">
      <c r="A197" t="s">
        <v>332</v>
      </c>
      <c r="B197" t="s">
        <v>21</v>
      </c>
      <c r="C197" t="s">
        <v>296</v>
      </c>
      <c r="D197" s="1">
        <v>45826</v>
      </c>
      <c r="E197">
        <v>3564</v>
      </c>
      <c r="F197">
        <v>2346</v>
      </c>
      <c r="G197">
        <v>60</v>
      </c>
      <c r="H197">
        <v>23640</v>
      </c>
    </row>
    <row r="198" spans="1:8" x14ac:dyDescent="0.35">
      <c r="A198" t="s">
        <v>333</v>
      </c>
      <c r="B198" t="s">
        <v>18</v>
      </c>
      <c r="C198" t="s">
        <v>194</v>
      </c>
      <c r="D198" s="1">
        <v>45730</v>
      </c>
      <c r="E198">
        <v>2127</v>
      </c>
      <c r="F198">
        <v>405</v>
      </c>
      <c r="G198">
        <v>42</v>
      </c>
      <c r="H198">
        <v>6330</v>
      </c>
    </row>
    <row r="199" spans="1:8" x14ac:dyDescent="0.35">
      <c r="A199" t="s">
        <v>334</v>
      </c>
      <c r="B199" t="s">
        <v>32</v>
      </c>
      <c r="C199" t="s">
        <v>335</v>
      </c>
      <c r="D199" s="1">
        <v>45680</v>
      </c>
      <c r="E199">
        <v>3185</v>
      </c>
      <c r="F199">
        <v>137</v>
      </c>
      <c r="G199">
        <v>19</v>
      </c>
      <c r="H199">
        <v>16610</v>
      </c>
    </row>
    <row r="200" spans="1:8" x14ac:dyDescent="0.35">
      <c r="A200" t="s">
        <v>336</v>
      </c>
      <c r="B200" t="s">
        <v>21</v>
      </c>
      <c r="C200" t="s">
        <v>296</v>
      </c>
      <c r="D200" s="1">
        <v>45822</v>
      </c>
      <c r="E200">
        <v>512</v>
      </c>
      <c r="F200">
        <v>367</v>
      </c>
      <c r="G200">
        <v>51</v>
      </c>
      <c r="H200">
        <v>3516</v>
      </c>
    </row>
    <row r="201" spans="1:8" x14ac:dyDescent="0.35">
      <c r="A201" t="s">
        <v>337</v>
      </c>
      <c r="B201" t="s">
        <v>32</v>
      </c>
      <c r="C201" t="s">
        <v>338</v>
      </c>
      <c r="D201" s="1">
        <v>45680</v>
      </c>
      <c r="E201">
        <v>4620</v>
      </c>
      <c r="F201">
        <v>845</v>
      </c>
      <c r="G201">
        <v>20</v>
      </c>
      <c r="H201">
        <v>27325</v>
      </c>
    </row>
    <row r="202" spans="1:8" x14ac:dyDescent="0.35">
      <c r="A202" t="s">
        <v>339</v>
      </c>
      <c r="B202" t="s">
        <v>32</v>
      </c>
      <c r="C202" t="s">
        <v>74</v>
      </c>
      <c r="D202" s="1">
        <v>45689</v>
      </c>
      <c r="E202">
        <v>2514</v>
      </c>
      <c r="F202">
        <v>1701</v>
      </c>
      <c r="G202">
        <v>240</v>
      </c>
      <c r="H202">
        <v>21075</v>
      </c>
    </row>
    <row r="203" spans="1:8" x14ac:dyDescent="0.35">
      <c r="A203" t="s">
        <v>340</v>
      </c>
      <c r="B203" t="s">
        <v>21</v>
      </c>
      <c r="C203" t="s">
        <v>219</v>
      </c>
      <c r="D203" s="1">
        <v>45836</v>
      </c>
      <c r="E203">
        <v>3692</v>
      </c>
      <c r="F203">
        <v>3292</v>
      </c>
      <c r="G203">
        <v>306</v>
      </c>
      <c r="H203">
        <v>27936</v>
      </c>
    </row>
    <row r="204" spans="1:8" x14ac:dyDescent="0.35">
      <c r="A204" t="s">
        <v>341</v>
      </c>
      <c r="B204" t="s">
        <v>9</v>
      </c>
      <c r="C204" t="s">
        <v>105</v>
      </c>
      <c r="D204" s="1">
        <v>45642</v>
      </c>
      <c r="E204">
        <v>3830</v>
      </c>
      <c r="F204">
        <v>1628</v>
      </c>
      <c r="G204">
        <v>194</v>
      </c>
      <c r="H204">
        <v>8187</v>
      </c>
    </row>
    <row r="205" spans="1:8" x14ac:dyDescent="0.35">
      <c r="A205" t="s">
        <v>342</v>
      </c>
      <c r="B205" t="s">
        <v>32</v>
      </c>
      <c r="C205" t="s">
        <v>60</v>
      </c>
      <c r="D205" s="1">
        <v>45678</v>
      </c>
      <c r="E205">
        <v>3513</v>
      </c>
      <c r="F205">
        <v>1772</v>
      </c>
      <c r="G205">
        <v>169</v>
      </c>
      <c r="H205">
        <v>26425</v>
      </c>
    </row>
    <row r="206" spans="1:8" x14ac:dyDescent="0.35">
      <c r="A206" t="s">
        <v>343</v>
      </c>
      <c r="B206" t="s">
        <v>9</v>
      </c>
      <c r="C206" t="s">
        <v>344</v>
      </c>
      <c r="D206" s="1">
        <v>45639</v>
      </c>
      <c r="E206">
        <v>1970</v>
      </c>
      <c r="F206">
        <v>163</v>
      </c>
      <c r="G206">
        <v>19</v>
      </c>
      <c r="H206">
        <v>3199.5</v>
      </c>
    </row>
    <row r="207" spans="1:8" x14ac:dyDescent="0.35">
      <c r="A207" t="s">
        <v>345</v>
      </c>
      <c r="B207" t="s">
        <v>9</v>
      </c>
      <c r="C207" t="s">
        <v>346</v>
      </c>
      <c r="D207" s="1">
        <v>45645</v>
      </c>
      <c r="E207">
        <v>4764</v>
      </c>
      <c r="F207">
        <v>2602</v>
      </c>
      <c r="G207">
        <v>302</v>
      </c>
      <c r="H207">
        <v>11049</v>
      </c>
    </row>
    <row r="208" spans="1:8" x14ac:dyDescent="0.35">
      <c r="A208" t="s">
        <v>347</v>
      </c>
      <c r="B208" t="s">
        <v>24</v>
      </c>
      <c r="C208" t="s">
        <v>25</v>
      </c>
      <c r="D208" s="1">
        <v>45769</v>
      </c>
      <c r="E208">
        <v>746</v>
      </c>
      <c r="F208">
        <v>649</v>
      </c>
      <c r="G208">
        <v>56</v>
      </c>
      <c r="H208">
        <v>4185</v>
      </c>
    </row>
    <row r="209" spans="1:8" x14ac:dyDescent="0.35">
      <c r="A209" t="s">
        <v>348</v>
      </c>
      <c r="B209" t="s">
        <v>9</v>
      </c>
      <c r="C209" t="s">
        <v>102</v>
      </c>
      <c r="D209" s="1">
        <v>45631</v>
      </c>
      <c r="E209">
        <v>2522</v>
      </c>
      <c r="F209">
        <v>1650</v>
      </c>
      <c r="G209">
        <v>232</v>
      </c>
      <c r="H209">
        <v>6258</v>
      </c>
    </row>
    <row r="210" spans="1:8" x14ac:dyDescent="0.35">
      <c r="A210" t="s">
        <v>349</v>
      </c>
      <c r="B210" t="s">
        <v>32</v>
      </c>
      <c r="C210" t="s">
        <v>275</v>
      </c>
      <c r="D210" s="1">
        <v>45684</v>
      </c>
      <c r="E210">
        <v>2428</v>
      </c>
      <c r="F210">
        <v>1293</v>
      </c>
      <c r="G210">
        <v>209</v>
      </c>
      <c r="H210">
        <v>18605</v>
      </c>
    </row>
    <row r="211" spans="1:8" x14ac:dyDescent="0.35">
      <c r="A211" t="s">
        <v>350</v>
      </c>
      <c r="B211" t="s">
        <v>24</v>
      </c>
      <c r="C211" t="s">
        <v>221</v>
      </c>
      <c r="D211" s="1">
        <v>45758</v>
      </c>
      <c r="E211">
        <v>3177</v>
      </c>
      <c r="F211">
        <v>2474</v>
      </c>
      <c r="G211">
        <v>241</v>
      </c>
      <c r="H211">
        <v>16953</v>
      </c>
    </row>
    <row r="212" spans="1:8" x14ac:dyDescent="0.35">
      <c r="A212" t="s">
        <v>351</v>
      </c>
      <c r="B212" t="s">
        <v>9</v>
      </c>
      <c r="C212" t="s">
        <v>352</v>
      </c>
      <c r="D212" s="1">
        <v>45636</v>
      </c>
      <c r="E212">
        <v>3441</v>
      </c>
      <c r="F212">
        <v>5</v>
      </c>
      <c r="G212">
        <v>0</v>
      </c>
      <c r="H212">
        <v>5169</v>
      </c>
    </row>
    <row r="213" spans="1:8" x14ac:dyDescent="0.35">
      <c r="A213" t="s">
        <v>353</v>
      </c>
      <c r="B213" t="s">
        <v>24</v>
      </c>
      <c r="C213" t="s">
        <v>237</v>
      </c>
      <c r="D213" s="1">
        <v>45759</v>
      </c>
      <c r="E213">
        <v>4365</v>
      </c>
      <c r="F213">
        <v>293</v>
      </c>
      <c r="G213">
        <v>3</v>
      </c>
      <c r="H213">
        <v>13974</v>
      </c>
    </row>
    <row r="214" spans="1:8" x14ac:dyDescent="0.35">
      <c r="A214" t="s">
        <v>354</v>
      </c>
      <c r="B214" t="s">
        <v>32</v>
      </c>
      <c r="C214" t="s">
        <v>118</v>
      </c>
      <c r="D214" s="1">
        <v>45675</v>
      </c>
      <c r="E214">
        <v>3183</v>
      </c>
      <c r="F214">
        <v>2995</v>
      </c>
      <c r="G214">
        <v>217</v>
      </c>
      <c r="H214">
        <v>30890</v>
      </c>
    </row>
    <row r="215" spans="1:8" x14ac:dyDescent="0.35">
      <c r="A215" t="s">
        <v>355</v>
      </c>
      <c r="B215" t="s">
        <v>18</v>
      </c>
      <c r="C215" t="s">
        <v>271</v>
      </c>
      <c r="D215" s="1">
        <v>45730</v>
      </c>
      <c r="E215">
        <v>2116</v>
      </c>
      <c r="F215">
        <v>1702</v>
      </c>
      <c r="G215">
        <v>304</v>
      </c>
      <c r="H215">
        <v>9545</v>
      </c>
    </row>
    <row r="216" spans="1:8" x14ac:dyDescent="0.35">
      <c r="A216" t="s">
        <v>356</v>
      </c>
      <c r="B216" t="s">
        <v>21</v>
      </c>
      <c r="C216" t="s">
        <v>153</v>
      </c>
      <c r="D216" s="1">
        <v>45830</v>
      </c>
      <c r="E216">
        <v>4135</v>
      </c>
      <c r="F216">
        <v>939</v>
      </c>
      <c r="G216">
        <v>132</v>
      </c>
      <c r="H216">
        <v>20296</v>
      </c>
    </row>
    <row r="217" spans="1:8" x14ac:dyDescent="0.35">
      <c r="A217" t="s">
        <v>357</v>
      </c>
      <c r="B217" t="s">
        <v>21</v>
      </c>
      <c r="C217" t="s">
        <v>68</v>
      </c>
      <c r="D217" s="1">
        <v>45833</v>
      </c>
      <c r="E217">
        <v>168</v>
      </c>
      <c r="F217">
        <v>118</v>
      </c>
      <c r="G217">
        <v>18</v>
      </c>
      <c r="H217">
        <v>1144</v>
      </c>
    </row>
    <row r="218" spans="1:8" x14ac:dyDescent="0.35">
      <c r="A218" t="s">
        <v>358</v>
      </c>
      <c r="B218" t="s">
        <v>18</v>
      </c>
      <c r="C218" t="s">
        <v>312</v>
      </c>
      <c r="D218" s="1">
        <v>45719</v>
      </c>
      <c r="E218">
        <v>4840</v>
      </c>
      <c r="F218">
        <v>4602</v>
      </c>
      <c r="G218">
        <v>431</v>
      </c>
      <c r="H218">
        <v>23605</v>
      </c>
    </row>
    <row r="219" spans="1:8" x14ac:dyDescent="0.35">
      <c r="A219" t="s">
        <v>359</v>
      </c>
      <c r="B219" t="s">
        <v>21</v>
      </c>
      <c r="C219" t="s">
        <v>360</v>
      </c>
      <c r="D219" s="1">
        <v>45829</v>
      </c>
      <c r="E219">
        <v>403</v>
      </c>
      <c r="F219">
        <v>305</v>
      </c>
      <c r="G219">
        <v>27</v>
      </c>
      <c r="H219">
        <v>2832</v>
      </c>
    </row>
    <row r="220" spans="1:8" x14ac:dyDescent="0.35">
      <c r="A220" t="s">
        <v>361</v>
      </c>
      <c r="B220" t="s">
        <v>32</v>
      </c>
      <c r="C220" t="s">
        <v>362</v>
      </c>
      <c r="D220" s="1">
        <v>45688</v>
      </c>
      <c r="E220">
        <v>2678</v>
      </c>
      <c r="F220">
        <v>727</v>
      </c>
      <c r="G220">
        <v>49</v>
      </c>
      <c r="H220">
        <v>17025</v>
      </c>
    </row>
    <row r="221" spans="1:8" x14ac:dyDescent="0.35">
      <c r="A221" t="s">
        <v>363</v>
      </c>
      <c r="B221" t="s">
        <v>18</v>
      </c>
      <c r="C221" t="s">
        <v>19</v>
      </c>
      <c r="D221" s="1">
        <v>45726</v>
      </c>
      <c r="E221">
        <v>1210</v>
      </c>
      <c r="F221">
        <v>96</v>
      </c>
      <c r="G221">
        <v>5</v>
      </c>
      <c r="H221">
        <v>3265</v>
      </c>
    </row>
    <row r="222" spans="1:8" x14ac:dyDescent="0.35">
      <c r="A222" t="s">
        <v>364</v>
      </c>
      <c r="B222" t="s">
        <v>21</v>
      </c>
      <c r="C222" t="s">
        <v>41</v>
      </c>
      <c r="D222" s="1">
        <v>45820</v>
      </c>
      <c r="E222">
        <v>1986</v>
      </c>
      <c r="F222">
        <v>1505</v>
      </c>
      <c r="G222">
        <v>81</v>
      </c>
      <c r="H222">
        <v>13964</v>
      </c>
    </row>
    <row r="223" spans="1:8" x14ac:dyDescent="0.35">
      <c r="A223" t="s">
        <v>365</v>
      </c>
      <c r="B223" t="s">
        <v>18</v>
      </c>
      <c r="C223" t="s">
        <v>296</v>
      </c>
      <c r="D223" s="1">
        <v>45731</v>
      </c>
      <c r="E223">
        <v>1451</v>
      </c>
      <c r="F223">
        <v>1067</v>
      </c>
      <c r="G223">
        <v>58</v>
      </c>
      <c r="H223">
        <v>6295</v>
      </c>
    </row>
    <row r="224" spans="1:8" x14ac:dyDescent="0.35">
      <c r="A224" t="s">
        <v>366</v>
      </c>
      <c r="B224" t="s">
        <v>21</v>
      </c>
      <c r="C224" t="s">
        <v>367</v>
      </c>
      <c r="D224" s="1">
        <v>45836</v>
      </c>
      <c r="E224">
        <v>1179</v>
      </c>
      <c r="F224">
        <v>735</v>
      </c>
      <c r="G224">
        <v>117</v>
      </c>
      <c r="H224">
        <v>7656</v>
      </c>
    </row>
    <row r="225" spans="1:8" x14ac:dyDescent="0.35">
      <c r="A225" t="s">
        <v>368</v>
      </c>
      <c r="B225" t="s">
        <v>9</v>
      </c>
      <c r="C225" t="s">
        <v>369</v>
      </c>
      <c r="D225" s="1">
        <v>45639</v>
      </c>
      <c r="E225">
        <v>4292</v>
      </c>
      <c r="F225">
        <v>1728</v>
      </c>
      <c r="G225">
        <v>288</v>
      </c>
      <c r="H225">
        <v>9030</v>
      </c>
    </row>
    <row r="226" spans="1:8" x14ac:dyDescent="0.35">
      <c r="A226" t="s">
        <v>370</v>
      </c>
      <c r="B226" t="s">
        <v>21</v>
      </c>
      <c r="C226" t="s">
        <v>219</v>
      </c>
      <c r="D226" s="1">
        <v>45835</v>
      </c>
      <c r="E226">
        <v>361</v>
      </c>
      <c r="F226">
        <v>145</v>
      </c>
      <c r="G226">
        <v>26</v>
      </c>
      <c r="H226">
        <v>2024</v>
      </c>
    </row>
    <row r="227" spans="1:8" x14ac:dyDescent="0.35">
      <c r="A227" t="s">
        <v>371</v>
      </c>
      <c r="B227" t="s">
        <v>9</v>
      </c>
      <c r="C227" t="s">
        <v>372</v>
      </c>
      <c r="D227" s="1">
        <v>45638</v>
      </c>
      <c r="E227">
        <v>260</v>
      </c>
      <c r="F227">
        <v>3</v>
      </c>
      <c r="G227">
        <v>0</v>
      </c>
      <c r="H227">
        <v>394.5</v>
      </c>
    </row>
    <row r="228" spans="1:8" x14ac:dyDescent="0.35">
      <c r="A228" t="s">
        <v>373</v>
      </c>
      <c r="B228" t="s">
        <v>21</v>
      </c>
      <c r="C228" t="s">
        <v>151</v>
      </c>
      <c r="D228" s="1">
        <v>45824</v>
      </c>
      <c r="E228">
        <v>1742</v>
      </c>
      <c r="F228">
        <v>780</v>
      </c>
      <c r="G228">
        <v>98</v>
      </c>
      <c r="H228">
        <v>10088</v>
      </c>
    </row>
    <row r="229" spans="1:8" x14ac:dyDescent="0.35">
      <c r="A229" t="s">
        <v>374</v>
      </c>
      <c r="B229" t="s">
        <v>24</v>
      </c>
      <c r="C229" t="s">
        <v>98</v>
      </c>
      <c r="D229" s="1">
        <v>45768</v>
      </c>
      <c r="E229">
        <v>1109</v>
      </c>
      <c r="F229">
        <v>241</v>
      </c>
      <c r="G229">
        <v>44</v>
      </c>
      <c r="H229">
        <v>4050</v>
      </c>
    </row>
    <row r="230" spans="1:8" x14ac:dyDescent="0.35">
      <c r="A230" t="s">
        <v>375</v>
      </c>
      <c r="B230" t="s">
        <v>32</v>
      </c>
      <c r="C230" t="s">
        <v>49</v>
      </c>
      <c r="D230" s="1">
        <v>45689</v>
      </c>
      <c r="E230">
        <v>531</v>
      </c>
      <c r="F230">
        <v>89</v>
      </c>
      <c r="G230">
        <v>10</v>
      </c>
      <c r="H230">
        <v>3100</v>
      </c>
    </row>
    <row r="231" spans="1:8" x14ac:dyDescent="0.35">
      <c r="A231" t="s">
        <v>376</v>
      </c>
      <c r="B231" t="s">
        <v>24</v>
      </c>
      <c r="C231" t="s">
        <v>112</v>
      </c>
      <c r="D231" s="1">
        <v>45767</v>
      </c>
      <c r="E231">
        <v>2915</v>
      </c>
      <c r="F231">
        <v>1727</v>
      </c>
      <c r="G231">
        <v>229</v>
      </c>
      <c r="H231">
        <v>13926</v>
      </c>
    </row>
    <row r="232" spans="1:8" x14ac:dyDescent="0.35">
      <c r="A232" t="s">
        <v>377</v>
      </c>
      <c r="B232" t="s">
        <v>24</v>
      </c>
      <c r="C232" t="s">
        <v>10</v>
      </c>
      <c r="D232" s="1">
        <v>45766</v>
      </c>
      <c r="E232">
        <v>4986</v>
      </c>
      <c r="F232">
        <v>294</v>
      </c>
      <c r="G232">
        <v>9</v>
      </c>
      <c r="H232">
        <v>15840</v>
      </c>
    </row>
    <row r="233" spans="1:8" x14ac:dyDescent="0.35">
      <c r="A233" t="s">
        <v>378</v>
      </c>
      <c r="B233" t="s">
        <v>9</v>
      </c>
      <c r="C233" t="s">
        <v>94</v>
      </c>
      <c r="D233" s="1">
        <v>45640</v>
      </c>
      <c r="E233">
        <v>1623</v>
      </c>
      <c r="F233">
        <v>999</v>
      </c>
      <c r="G233">
        <v>91</v>
      </c>
      <c r="H233">
        <v>3933</v>
      </c>
    </row>
    <row r="234" spans="1:8" x14ac:dyDescent="0.35">
      <c r="A234" t="s">
        <v>379</v>
      </c>
      <c r="B234" t="s">
        <v>18</v>
      </c>
      <c r="C234" t="s">
        <v>380</v>
      </c>
      <c r="D234" s="1">
        <v>45727</v>
      </c>
      <c r="E234">
        <v>4304</v>
      </c>
      <c r="F234">
        <v>4157</v>
      </c>
      <c r="G234">
        <v>385</v>
      </c>
      <c r="H234">
        <v>21152.5</v>
      </c>
    </row>
    <row r="235" spans="1:8" x14ac:dyDescent="0.35">
      <c r="A235" t="s">
        <v>381</v>
      </c>
      <c r="B235" t="s">
        <v>18</v>
      </c>
      <c r="C235" t="s">
        <v>382</v>
      </c>
      <c r="D235" s="1">
        <v>45718</v>
      </c>
      <c r="E235">
        <v>1590</v>
      </c>
      <c r="F235">
        <v>254</v>
      </c>
      <c r="G235">
        <v>8</v>
      </c>
      <c r="H235">
        <v>4610</v>
      </c>
    </row>
    <row r="236" spans="1:8" x14ac:dyDescent="0.35">
      <c r="A236" t="s">
        <v>383</v>
      </c>
      <c r="B236" t="s">
        <v>32</v>
      </c>
      <c r="C236" t="s">
        <v>244</v>
      </c>
      <c r="D236" s="1">
        <v>45680</v>
      </c>
      <c r="E236">
        <v>3314</v>
      </c>
      <c r="F236">
        <v>1142</v>
      </c>
      <c r="G236">
        <v>134</v>
      </c>
      <c r="H236">
        <v>22280</v>
      </c>
    </row>
    <row r="237" spans="1:8" x14ac:dyDescent="0.35">
      <c r="A237" t="s">
        <v>384</v>
      </c>
      <c r="B237" t="s">
        <v>18</v>
      </c>
      <c r="C237" t="s">
        <v>190</v>
      </c>
      <c r="D237" s="1">
        <v>45730</v>
      </c>
      <c r="E237">
        <v>4394</v>
      </c>
      <c r="F237">
        <v>1210</v>
      </c>
      <c r="G237">
        <v>118</v>
      </c>
      <c r="H237">
        <v>14010</v>
      </c>
    </row>
    <row r="238" spans="1:8" x14ac:dyDescent="0.35">
      <c r="A238" t="s">
        <v>385</v>
      </c>
      <c r="B238" t="s">
        <v>24</v>
      </c>
      <c r="C238" t="s">
        <v>331</v>
      </c>
      <c r="D238" s="1">
        <v>45760</v>
      </c>
      <c r="E238">
        <v>4739</v>
      </c>
      <c r="F238">
        <v>584</v>
      </c>
      <c r="G238">
        <v>4</v>
      </c>
      <c r="H238">
        <v>15969</v>
      </c>
    </row>
    <row r="239" spans="1:8" x14ac:dyDescent="0.35">
      <c r="A239" t="s">
        <v>386</v>
      </c>
      <c r="B239" t="s">
        <v>24</v>
      </c>
      <c r="C239" t="s">
        <v>387</v>
      </c>
      <c r="D239" s="1">
        <v>45760</v>
      </c>
      <c r="E239">
        <v>2378</v>
      </c>
      <c r="F239">
        <v>1429</v>
      </c>
      <c r="G239">
        <v>46</v>
      </c>
      <c r="H239">
        <v>11421</v>
      </c>
    </row>
    <row r="240" spans="1:8" x14ac:dyDescent="0.35">
      <c r="A240" t="s">
        <v>388</v>
      </c>
      <c r="B240" t="s">
        <v>32</v>
      </c>
      <c r="C240" t="s">
        <v>96</v>
      </c>
      <c r="D240" s="1">
        <v>45674</v>
      </c>
      <c r="E240">
        <v>4118</v>
      </c>
      <c r="F240">
        <v>1406</v>
      </c>
      <c r="G240">
        <v>64</v>
      </c>
      <c r="H240">
        <v>27620</v>
      </c>
    </row>
    <row r="241" spans="1:8" x14ac:dyDescent="0.35">
      <c r="A241" t="s">
        <v>389</v>
      </c>
      <c r="B241" t="s">
        <v>18</v>
      </c>
      <c r="C241" t="s">
        <v>54</v>
      </c>
      <c r="D241" s="1">
        <v>45730</v>
      </c>
      <c r="E241">
        <v>3203</v>
      </c>
      <c r="F241">
        <v>3115</v>
      </c>
      <c r="G241">
        <v>369</v>
      </c>
      <c r="H241">
        <v>15795</v>
      </c>
    </row>
    <row r="242" spans="1:8" x14ac:dyDescent="0.35">
      <c r="A242" t="s">
        <v>390</v>
      </c>
      <c r="B242" t="s">
        <v>9</v>
      </c>
      <c r="C242" t="s">
        <v>129</v>
      </c>
      <c r="D242" s="1">
        <v>45642</v>
      </c>
      <c r="E242">
        <v>3618</v>
      </c>
      <c r="F242">
        <v>2518</v>
      </c>
      <c r="G242">
        <v>139</v>
      </c>
      <c r="H242">
        <v>9204</v>
      </c>
    </row>
    <row r="243" spans="1:8" x14ac:dyDescent="0.35">
      <c r="A243" t="s">
        <v>391</v>
      </c>
      <c r="B243" t="s">
        <v>9</v>
      </c>
      <c r="C243" t="s">
        <v>10</v>
      </c>
      <c r="D243" s="1">
        <v>45635</v>
      </c>
      <c r="E243">
        <v>1975</v>
      </c>
      <c r="F243">
        <v>595</v>
      </c>
      <c r="G243">
        <v>2</v>
      </c>
      <c r="H243">
        <v>3855</v>
      </c>
    </row>
    <row r="244" spans="1:8" x14ac:dyDescent="0.35">
      <c r="A244" t="s">
        <v>392</v>
      </c>
      <c r="B244" t="s">
        <v>32</v>
      </c>
      <c r="C244" t="s">
        <v>260</v>
      </c>
      <c r="D244" s="1">
        <v>45692</v>
      </c>
      <c r="E244">
        <v>2807</v>
      </c>
      <c r="F244">
        <v>2493</v>
      </c>
      <c r="G244">
        <v>76</v>
      </c>
      <c r="H244">
        <v>26500</v>
      </c>
    </row>
    <row r="245" spans="1:8" x14ac:dyDescent="0.35">
      <c r="A245" t="s">
        <v>393</v>
      </c>
      <c r="B245" t="s">
        <v>18</v>
      </c>
      <c r="C245" t="s">
        <v>394</v>
      </c>
      <c r="D245" s="1">
        <v>45731</v>
      </c>
      <c r="E245">
        <v>560</v>
      </c>
      <c r="F245">
        <v>547</v>
      </c>
      <c r="G245">
        <v>51</v>
      </c>
      <c r="H245">
        <v>2767.5</v>
      </c>
    </row>
    <row r="246" spans="1:8" x14ac:dyDescent="0.35">
      <c r="A246" t="s">
        <v>395</v>
      </c>
      <c r="B246" t="s">
        <v>32</v>
      </c>
      <c r="C246" t="s">
        <v>114</v>
      </c>
      <c r="D246" s="1">
        <v>45680</v>
      </c>
      <c r="E246">
        <v>2992</v>
      </c>
      <c r="F246">
        <v>958</v>
      </c>
      <c r="G246">
        <v>79</v>
      </c>
      <c r="H246">
        <v>19750</v>
      </c>
    </row>
    <row r="247" spans="1:8" x14ac:dyDescent="0.35">
      <c r="A247" t="s">
        <v>396</v>
      </c>
      <c r="B247" t="s">
        <v>32</v>
      </c>
      <c r="C247" t="s">
        <v>397</v>
      </c>
      <c r="D247" s="1">
        <v>45692</v>
      </c>
      <c r="E247">
        <v>2903</v>
      </c>
      <c r="F247">
        <v>1925</v>
      </c>
      <c r="G247">
        <v>179</v>
      </c>
      <c r="H247">
        <v>24140</v>
      </c>
    </row>
    <row r="248" spans="1:8" x14ac:dyDescent="0.35">
      <c r="A248" t="s">
        <v>398</v>
      </c>
      <c r="B248" t="s">
        <v>24</v>
      </c>
      <c r="C248" t="s">
        <v>108</v>
      </c>
      <c r="D248" s="1">
        <v>45770</v>
      </c>
      <c r="E248">
        <v>68</v>
      </c>
      <c r="F248">
        <v>2</v>
      </c>
      <c r="G248">
        <v>0</v>
      </c>
      <c r="H248">
        <v>210</v>
      </c>
    </row>
    <row r="249" spans="1:8" x14ac:dyDescent="0.35">
      <c r="A249" t="s">
        <v>399</v>
      </c>
      <c r="B249" t="s">
        <v>24</v>
      </c>
      <c r="C249" t="s">
        <v>369</v>
      </c>
      <c r="D249" s="1">
        <v>45772</v>
      </c>
      <c r="E249">
        <v>521</v>
      </c>
      <c r="F249">
        <v>455</v>
      </c>
      <c r="G249">
        <v>86</v>
      </c>
      <c r="H249">
        <v>2928</v>
      </c>
    </row>
    <row r="250" spans="1:8" x14ac:dyDescent="0.35">
      <c r="A250" t="s">
        <v>400</v>
      </c>
      <c r="B250" t="s">
        <v>32</v>
      </c>
      <c r="C250" t="s">
        <v>305</v>
      </c>
      <c r="D250" s="1">
        <v>45687</v>
      </c>
      <c r="E250">
        <v>4118</v>
      </c>
      <c r="F250">
        <v>2858</v>
      </c>
      <c r="G250">
        <v>327</v>
      </c>
      <c r="H250">
        <v>34880</v>
      </c>
    </row>
    <row r="251" spans="1:8" x14ac:dyDescent="0.35">
      <c r="A251" t="s">
        <v>401</v>
      </c>
      <c r="B251" t="s">
        <v>18</v>
      </c>
      <c r="C251" t="s">
        <v>149</v>
      </c>
      <c r="D251" s="1">
        <v>45726</v>
      </c>
      <c r="E251">
        <v>1847</v>
      </c>
      <c r="F251">
        <v>924</v>
      </c>
      <c r="G251">
        <v>36</v>
      </c>
      <c r="H251">
        <v>6927.5</v>
      </c>
    </row>
    <row r="252" spans="1:8" x14ac:dyDescent="0.35">
      <c r="A252" t="s">
        <v>402</v>
      </c>
      <c r="B252" t="s">
        <v>18</v>
      </c>
      <c r="C252" t="s">
        <v>290</v>
      </c>
      <c r="D252" s="1">
        <v>45727</v>
      </c>
      <c r="E252">
        <v>522</v>
      </c>
      <c r="F252">
        <v>482</v>
      </c>
      <c r="G252">
        <v>89</v>
      </c>
      <c r="H252">
        <v>2510</v>
      </c>
    </row>
    <row r="253" spans="1:8" x14ac:dyDescent="0.35">
      <c r="A253" t="s">
        <v>403</v>
      </c>
      <c r="B253" t="s">
        <v>21</v>
      </c>
      <c r="C253" t="s">
        <v>331</v>
      </c>
      <c r="D253" s="1">
        <v>45831</v>
      </c>
      <c r="E253">
        <v>3753</v>
      </c>
      <c r="F253">
        <v>2415</v>
      </c>
      <c r="G253">
        <v>364</v>
      </c>
      <c r="H253">
        <v>24672</v>
      </c>
    </row>
    <row r="254" spans="1:8" x14ac:dyDescent="0.35">
      <c r="A254" t="s">
        <v>404</v>
      </c>
      <c r="B254" t="s">
        <v>32</v>
      </c>
      <c r="C254" t="s">
        <v>292</v>
      </c>
      <c r="D254" s="1">
        <v>45687</v>
      </c>
      <c r="E254">
        <v>2499</v>
      </c>
      <c r="F254">
        <v>2048</v>
      </c>
      <c r="G254">
        <v>91</v>
      </c>
      <c r="H254">
        <v>22735</v>
      </c>
    </row>
    <row r="255" spans="1:8" x14ac:dyDescent="0.35">
      <c r="A255" t="s">
        <v>405</v>
      </c>
      <c r="B255" t="s">
        <v>32</v>
      </c>
      <c r="C255" t="s">
        <v>406</v>
      </c>
      <c r="D255" s="1">
        <v>45680</v>
      </c>
      <c r="E255">
        <v>4158</v>
      </c>
      <c r="F255">
        <v>2019</v>
      </c>
      <c r="G255">
        <v>146</v>
      </c>
      <c r="H255">
        <v>30885</v>
      </c>
    </row>
    <row r="256" spans="1:8" x14ac:dyDescent="0.35">
      <c r="A256" t="s">
        <v>407</v>
      </c>
      <c r="B256" t="s">
        <v>24</v>
      </c>
      <c r="C256" t="s">
        <v>151</v>
      </c>
      <c r="D256" s="1">
        <v>45772</v>
      </c>
      <c r="E256">
        <v>2158</v>
      </c>
      <c r="F256">
        <v>2128</v>
      </c>
      <c r="G256">
        <v>207</v>
      </c>
      <c r="H256">
        <v>12858</v>
      </c>
    </row>
    <row r="257" spans="1:8" x14ac:dyDescent="0.35">
      <c r="A257" t="s">
        <v>408</v>
      </c>
      <c r="B257" t="s">
        <v>18</v>
      </c>
      <c r="C257" t="s">
        <v>12</v>
      </c>
      <c r="D257" s="1">
        <v>45718</v>
      </c>
      <c r="E257">
        <v>925</v>
      </c>
      <c r="F257">
        <v>189</v>
      </c>
      <c r="G257">
        <v>27</v>
      </c>
      <c r="H257">
        <v>2785</v>
      </c>
    </row>
    <row r="258" spans="1:8" x14ac:dyDescent="0.35">
      <c r="A258" t="s">
        <v>409</v>
      </c>
      <c r="B258" t="s">
        <v>21</v>
      </c>
      <c r="C258" t="s">
        <v>410</v>
      </c>
      <c r="D258" s="1">
        <v>45825</v>
      </c>
      <c r="E258">
        <v>2100</v>
      </c>
      <c r="F258">
        <v>1416</v>
      </c>
      <c r="G258">
        <v>204</v>
      </c>
      <c r="H258">
        <v>14064</v>
      </c>
    </row>
    <row r="259" spans="1:8" x14ac:dyDescent="0.35">
      <c r="A259" t="s">
        <v>411</v>
      </c>
      <c r="B259" t="s">
        <v>21</v>
      </c>
      <c r="C259" t="s">
        <v>412</v>
      </c>
      <c r="D259" s="1">
        <v>45827</v>
      </c>
      <c r="E259">
        <v>2024</v>
      </c>
      <c r="F259">
        <v>1359</v>
      </c>
      <c r="G259">
        <v>20</v>
      </c>
      <c r="H259">
        <v>13532</v>
      </c>
    </row>
    <row r="260" spans="1:8" x14ac:dyDescent="0.35">
      <c r="A260" t="s">
        <v>413</v>
      </c>
      <c r="B260" t="s">
        <v>32</v>
      </c>
      <c r="C260" t="s">
        <v>64</v>
      </c>
      <c r="D260" s="1">
        <v>45684</v>
      </c>
      <c r="E260">
        <v>3389</v>
      </c>
      <c r="F260">
        <v>533</v>
      </c>
      <c r="G260">
        <v>105</v>
      </c>
      <c r="H260">
        <v>19610</v>
      </c>
    </row>
    <row r="261" spans="1:8" x14ac:dyDescent="0.35">
      <c r="A261" t="s">
        <v>414</v>
      </c>
      <c r="B261" t="s">
        <v>18</v>
      </c>
      <c r="C261" t="s">
        <v>387</v>
      </c>
      <c r="D261" s="1">
        <v>45731</v>
      </c>
      <c r="E261">
        <v>2901</v>
      </c>
      <c r="F261">
        <v>1041</v>
      </c>
      <c r="G261">
        <v>53</v>
      </c>
      <c r="H261">
        <v>9855</v>
      </c>
    </row>
    <row r="262" spans="1:8" x14ac:dyDescent="0.35">
      <c r="A262" t="s">
        <v>415</v>
      </c>
      <c r="B262" t="s">
        <v>9</v>
      </c>
      <c r="C262" t="s">
        <v>338</v>
      </c>
      <c r="D262" s="1">
        <v>45646</v>
      </c>
      <c r="E262">
        <v>2399</v>
      </c>
      <c r="F262">
        <v>1529</v>
      </c>
      <c r="G262">
        <v>291</v>
      </c>
      <c r="H262">
        <v>5892</v>
      </c>
    </row>
    <row r="263" spans="1:8" x14ac:dyDescent="0.35">
      <c r="A263" t="s">
        <v>416</v>
      </c>
      <c r="B263" t="s">
        <v>24</v>
      </c>
      <c r="C263" t="s">
        <v>108</v>
      </c>
      <c r="D263" s="1">
        <v>45764</v>
      </c>
      <c r="E263">
        <v>4565</v>
      </c>
      <c r="F263">
        <v>2841</v>
      </c>
      <c r="G263">
        <v>400</v>
      </c>
      <c r="H263">
        <v>22218</v>
      </c>
    </row>
    <row r="264" spans="1:8" x14ac:dyDescent="0.35">
      <c r="A264" t="s">
        <v>417</v>
      </c>
      <c r="B264" t="s">
        <v>24</v>
      </c>
      <c r="C264" t="s">
        <v>312</v>
      </c>
      <c r="D264" s="1">
        <v>45769</v>
      </c>
      <c r="E264">
        <v>1482</v>
      </c>
      <c r="F264">
        <v>627</v>
      </c>
      <c r="G264">
        <v>61</v>
      </c>
      <c r="H264">
        <v>6327</v>
      </c>
    </row>
    <row r="265" spans="1:8" x14ac:dyDescent="0.35">
      <c r="A265" t="s">
        <v>418</v>
      </c>
      <c r="B265" t="s">
        <v>21</v>
      </c>
      <c r="C265" t="s">
        <v>140</v>
      </c>
      <c r="D265" s="1">
        <v>45823</v>
      </c>
      <c r="E265">
        <v>4868</v>
      </c>
      <c r="F265">
        <v>722</v>
      </c>
      <c r="G265">
        <v>96</v>
      </c>
      <c r="H265">
        <v>22360</v>
      </c>
    </row>
    <row r="266" spans="1:8" x14ac:dyDescent="0.35">
      <c r="A266" t="s">
        <v>419</v>
      </c>
      <c r="B266" t="s">
        <v>21</v>
      </c>
      <c r="C266" t="s">
        <v>129</v>
      </c>
      <c r="D266" s="1">
        <v>45835</v>
      </c>
      <c r="E266">
        <v>1487</v>
      </c>
      <c r="F266">
        <v>1151</v>
      </c>
      <c r="G266">
        <v>91</v>
      </c>
      <c r="H266">
        <v>10552</v>
      </c>
    </row>
    <row r="267" spans="1:8" x14ac:dyDescent="0.35">
      <c r="A267" t="s">
        <v>420</v>
      </c>
      <c r="B267" t="s">
        <v>21</v>
      </c>
      <c r="C267" t="s">
        <v>237</v>
      </c>
      <c r="D267" s="1">
        <v>45827</v>
      </c>
      <c r="E267">
        <v>618</v>
      </c>
      <c r="F267">
        <v>589</v>
      </c>
      <c r="G267">
        <v>86</v>
      </c>
      <c r="H267">
        <v>4828</v>
      </c>
    </row>
    <row r="268" spans="1:8" x14ac:dyDescent="0.35">
      <c r="A268" t="s">
        <v>421</v>
      </c>
      <c r="B268" t="s">
        <v>21</v>
      </c>
      <c r="C268" t="s">
        <v>422</v>
      </c>
      <c r="D268" s="1">
        <v>45834</v>
      </c>
      <c r="E268">
        <v>3152</v>
      </c>
      <c r="F268">
        <v>289</v>
      </c>
      <c r="G268">
        <v>41</v>
      </c>
      <c r="H268">
        <v>13764</v>
      </c>
    </row>
    <row r="269" spans="1:8" x14ac:dyDescent="0.35">
      <c r="A269" t="s">
        <v>423</v>
      </c>
      <c r="B269" t="s">
        <v>32</v>
      </c>
      <c r="C269" t="s">
        <v>424</v>
      </c>
      <c r="D269" s="1">
        <v>45677</v>
      </c>
      <c r="E269">
        <v>2905</v>
      </c>
      <c r="F269">
        <v>692</v>
      </c>
      <c r="G269">
        <v>84</v>
      </c>
      <c r="H269">
        <v>17985</v>
      </c>
    </row>
    <row r="270" spans="1:8" x14ac:dyDescent="0.35">
      <c r="A270" t="s">
        <v>425</v>
      </c>
      <c r="B270" t="s">
        <v>24</v>
      </c>
      <c r="C270" t="s">
        <v>324</v>
      </c>
      <c r="D270" s="1">
        <v>45765</v>
      </c>
      <c r="E270">
        <v>1408</v>
      </c>
      <c r="F270">
        <v>806</v>
      </c>
      <c r="G270">
        <v>8</v>
      </c>
      <c r="H270">
        <v>6642</v>
      </c>
    </row>
    <row r="271" spans="1:8" x14ac:dyDescent="0.35">
      <c r="A271" t="s">
        <v>426</v>
      </c>
      <c r="B271" t="s">
        <v>18</v>
      </c>
      <c r="C271" t="s">
        <v>64</v>
      </c>
      <c r="D271" s="1">
        <v>45727</v>
      </c>
      <c r="E271">
        <v>916</v>
      </c>
      <c r="F271">
        <v>723</v>
      </c>
      <c r="G271">
        <v>116</v>
      </c>
      <c r="H271">
        <v>4097.5</v>
      </c>
    </row>
    <row r="272" spans="1:8" x14ac:dyDescent="0.35">
      <c r="A272" t="s">
        <v>427</v>
      </c>
      <c r="B272" t="s">
        <v>21</v>
      </c>
      <c r="C272" t="s">
        <v>324</v>
      </c>
      <c r="D272" s="1">
        <v>45827</v>
      </c>
      <c r="E272">
        <v>3285</v>
      </c>
      <c r="F272">
        <v>1094</v>
      </c>
      <c r="G272">
        <v>8</v>
      </c>
      <c r="H272">
        <v>17516</v>
      </c>
    </row>
    <row r="273" spans="1:8" x14ac:dyDescent="0.35">
      <c r="A273" t="s">
        <v>428</v>
      </c>
      <c r="B273" t="s">
        <v>32</v>
      </c>
      <c r="C273" t="s">
        <v>108</v>
      </c>
      <c r="D273" s="1">
        <v>45674</v>
      </c>
      <c r="E273">
        <v>666</v>
      </c>
      <c r="F273">
        <v>73</v>
      </c>
      <c r="G273">
        <v>0</v>
      </c>
      <c r="H273">
        <v>3695</v>
      </c>
    </row>
    <row r="274" spans="1:8" x14ac:dyDescent="0.35">
      <c r="A274" t="s">
        <v>429</v>
      </c>
      <c r="B274" t="s">
        <v>24</v>
      </c>
      <c r="C274" t="s">
        <v>430</v>
      </c>
      <c r="D274" s="1">
        <v>45758</v>
      </c>
      <c r="E274">
        <v>3167</v>
      </c>
      <c r="F274">
        <v>747</v>
      </c>
      <c r="G274">
        <v>108</v>
      </c>
      <c r="H274">
        <v>11742</v>
      </c>
    </row>
    <row r="275" spans="1:8" x14ac:dyDescent="0.35">
      <c r="A275" t="s">
        <v>431</v>
      </c>
      <c r="B275" t="s">
        <v>24</v>
      </c>
      <c r="C275" t="s">
        <v>265</v>
      </c>
      <c r="D275" s="1">
        <v>45768</v>
      </c>
      <c r="E275">
        <v>1794</v>
      </c>
      <c r="F275">
        <v>1789</v>
      </c>
      <c r="G275">
        <v>17</v>
      </c>
      <c r="H275">
        <v>10749</v>
      </c>
    </row>
    <row r="276" spans="1:8" x14ac:dyDescent="0.35">
      <c r="A276" t="s">
        <v>432</v>
      </c>
      <c r="B276" t="s">
        <v>32</v>
      </c>
      <c r="C276" t="s">
        <v>433</v>
      </c>
      <c r="D276" s="1">
        <v>45684</v>
      </c>
      <c r="E276">
        <v>4923</v>
      </c>
      <c r="F276">
        <v>2973</v>
      </c>
      <c r="G276">
        <v>68</v>
      </c>
      <c r="H276">
        <v>39480</v>
      </c>
    </row>
    <row r="277" spans="1:8" x14ac:dyDescent="0.35">
      <c r="A277" t="s">
        <v>434</v>
      </c>
      <c r="B277" t="s">
        <v>18</v>
      </c>
      <c r="C277" t="s">
        <v>435</v>
      </c>
      <c r="D277" s="1">
        <v>45731</v>
      </c>
      <c r="E277">
        <v>179</v>
      </c>
      <c r="F277">
        <v>51</v>
      </c>
      <c r="G277">
        <v>0</v>
      </c>
      <c r="H277">
        <v>575</v>
      </c>
    </row>
    <row r="278" spans="1:8" x14ac:dyDescent="0.35">
      <c r="A278" t="s">
        <v>436</v>
      </c>
      <c r="B278" t="s">
        <v>9</v>
      </c>
      <c r="C278" t="s">
        <v>112</v>
      </c>
      <c r="D278" s="1">
        <v>45637</v>
      </c>
      <c r="E278">
        <v>4834</v>
      </c>
      <c r="F278">
        <v>2696</v>
      </c>
      <c r="G278">
        <v>308</v>
      </c>
      <c r="H278">
        <v>11295</v>
      </c>
    </row>
    <row r="279" spans="1:8" x14ac:dyDescent="0.35">
      <c r="A279" t="s">
        <v>437</v>
      </c>
      <c r="B279" t="s">
        <v>32</v>
      </c>
      <c r="C279" t="s">
        <v>438</v>
      </c>
      <c r="D279" s="1">
        <v>45674</v>
      </c>
      <c r="E279">
        <v>4119</v>
      </c>
      <c r="F279">
        <v>2770</v>
      </c>
      <c r="G279">
        <v>399</v>
      </c>
      <c r="H279">
        <v>34445</v>
      </c>
    </row>
    <row r="280" spans="1:8" x14ac:dyDescent="0.35">
      <c r="A280" t="s">
        <v>439</v>
      </c>
      <c r="B280" t="s">
        <v>32</v>
      </c>
      <c r="C280" t="s">
        <v>165</v>
      </c>
      <c r="D280" s="1">
        <v>45688</v>
      </c>
      <c r="E280">
        <v>4432</v>
      </c>
      <c r="F280">
        <v>307</v>
      </c>
      <c r="G280">
        <v>40</v>
      </c>
      <c r="H280">
        <v>23695</v>
      </c>
    </row>
    <row r="281" spans="1:8" x14ac:dyDescent="0.35">
      <c r="A281" t="s">
        <v>440</v>
      </c>
      <c r="B281" t="s">
        <v>21</v>
      </c>
      <c r="C281" t="s">
        <v>49</v>
      </c>
      <c r="D281" s="1">
        <v>45834</v>
      </c>
      <c r="E281">
        <v>500</v>
      </c>
      <c r="F281">
        <v>119</v>
      </c>
      <c r="G281">
        <v>12</v>
      </c>
      <c r="H281">
        <v>2476</v>
      </c>
    </row>
    <row r="282" spans="1:8" x14ac:dyDescent="0.35">
      <c r="A282" t="s">
        <v>441</v>
      </c>
      <c r="B282" t="s">
        <v>24</v>
      </c>
      <c r="C282" t="s">
        <v>360</v>
      </c>
      <c r="D282" s="1">
        <v>45763</v>
      </c>
      <c r="E282">
        <v>3914</v>
      </c>
      <c r="F282">
        <v>3209</v>
      </c>
      <c r="G282">
        <v>31</v>
      </c>
      <c r="H282">
        <v>21369</v>
      </c>
    </row>
    <row r="283" spans="1:8" x14ac:dyDescent="0.35">
      <c r="A283" t="s">
        <v>442</v>
      </c>
      <c r="B283" t="s">
        <v>21</v>
      </c>
      <c r="C283" t="s">
        <v>443</v>
      </c>
      <c r="D283" s="1">
        <v>45819</v>
      </c>
      <c r="E283">
        <v>4710</v>
      </c>
      <c r="F283">
        <v>656</v>
      </c>
      <c r="G283">
        <v>13</v>
      </c>
      <c r="H283">
        <v>21464</v>
      </c>
    </row>
    <row r="284" spans="1:8" x14ac:dyDescent="0.35">
      <c r="A284" t="s">
        <v>444</v>
      </c>
      <c r="B284" t="s">
        <v>24</v>
      </c>
      <c r="C284" t="s">
        <v>170</v>
      </c>
      <c r="D284" s="1">
        <v>45760</v>
      </c>
      <c r="E284">
        <v>1740</v>
      </c>
      <c r="F284">
        <v>573</v>
      </c>
      <c r="G284">
        <v>42</v>
      </c>
      <c r="H284">
        <v>6939</v>
      </c>
    </row>
    <row r="285" spans="1:8" x14ac:dyDescent="0.35">
      <c r="A285" t="s">
        <v>445</v>
      </c>
      <c r="B285" t="s">
        <v>21</v>
      </c>
      <c r="C285" t="s">
        <v>446</v>
      </c>
      <c r="D285" s="1">
        <v>45828</v>
      </c>
      <c r="E285">
        <v>3628</v>
      </c>
      <c r="F285">
        <v>1519</v>
      </c>
      <c r="G285">
        <v>68</v>
      </c>
      <c r="H285">
        <v>20588</v>
      </c>
    </row>
    <row r="286" spans="1:8" x14ac:dyDescent="0.35">
      <c r="A286" t="s">
        <v>447</v>
      </c>
      <c r="B286" t="s">
        <v>18</v>
      </c>
      <c r="C286" t="s">
        <v>422</v>
      </c>
      <c r="D286" s="1">
        <v>45731</v>
      </c>
      <c r="E286">
        <v>731</v>
      </c>
      <c r="F286">
        <v>220</v>
      </c>
      <c r="G286">
        <v>36</v>
      </c>
      <c r="H286">
        <v>2377.5</v>
      </c>
    </row>
    <row r="287" spans="1:8" x14ac:dyDescent="0.35">
      <c r="A287" t="s">
        <v>448</v>
      </c>
      <c r="B287" t="s">
        <v>9</v>
      </c>
      <c r="C287" t="s">
        <v>449</v>
      </c>
      <c r="D287" s="1">
        <v>45636</v>
      </c>
      <c r="E287">
        <v>1242</v>
      </c>
      <c r="F287">
        <v>634</v>
      </c>
      <c r="G287">
        <v>102</v>
      </c>
      <c r="H287">
        <v>2814</v>
      </c>
    </row>
    <row r="288" spans="1:8" x14ac:dyDescent="0.35">
      <c r="A288" t="s">
        <v>450</v>
      </c>
      <c r="B288" t="s">
        <v>9</v>
      </c>
      <c r="C288" t="s">
        <v>206</v>
      </c>
      <c r="D288" s="1">
        <v>45632</v>
      </c>
      <c r="E288">
        <v>4772</v>
      </c>
      <c r="F288">
        <v>204</v>
      </c>
      <c r="G288">
        <v>39</v>
      </c>
      <c r="H288">
        <v>7464</v>
      </c>
    </row>
    <row r="289" spans="1:8" x14ac:dyDescent="0.35">
      <c r="A289" t="s">
        <v>451</v>
      </c>
      <c r="B289" t="s">
        <v>18</v>
      </c>
      <c r="C289" t="s">
        <v>199</v>
      </c>
      <c r="D289" s="1">
        <v>45729</v>
      </c>
      <c r="E289">
        <v>2370</v>
      </c>
      <c r="F289">
        <v>527</v>
      </c>
      <c r="G289">
        <v>56</v>
      </c>
      <c r="H289">
        <v>7242.5</v>
      </c>
    </row>
    <row r="290" spans="1:8" x14ac:dyDescent="0.35">
      <c r="A290" t="s">
        <v>452</v>
      </c>
      <c r="B290" t="s">
        <v>24</v>
      </c>
      <c r="C290" t="s">
        <v>127</v>
      </c>
      <c r="D290" s="1">
        <v>45767</v>
      </c>
      <c r="E290">
        <v>2042</v>
      </c>
      <c r="F290">
        <v>2</v>
      </c>
      <c r="G290">
        <v>0</v>
      </c>
      <c r="H290">
        <v>6132</v>
      </c>
    </row>
    <row r="291" spans="1:8" x14ac:dyDescent="0.35">
      <c r="A291" t="s">
        <v>453</v>
      </c>
      <c r="B291" t="s">
        <v>32</v>
      </c>
      <c r="C291" t="s">
        <v>454</v>
      </c>
      <c r="D291" s="1">
        <v>45672</v>
      </c>
      <c r="E291">
        <v>3007</v>
      </c>
      <c r="F291">
        <v>2509</v>
      </c>
      <c r="G291">
        <v>193</v>
      </c>
      <c r="H291">
        <v>27580</v>
      </c>
    </row>
    <row r="292" spans="1:8" x14ac:dyDescent="0.35">
      <c r="A292" t="s">
        <v>455</v>
      </c>
      <c r="B292" t="s">
        <v>9</v>
      </c>
      <c r="C292" t="s">
        <v>184</v>
      </c>
      <c r="D292" s="1">
        <v>45646</v>
      </c>
      <c r="E292">
        <v>1554</v>
      </c>
      <c r="F292">
        <v>1249</v>
      </c>
      <c r="G292">
        <v>120</v>
      </c>
      <c r="H292">
        <v>4204.5</v>
      </c>
    </row>
    <row r="293" spans="1:8" x14ac:dyDescent="0.35">
      <c r="A293" t="s">
        <v>456</v>
      </c>
      <c r="B293" t="s">
        <v>18</v>
      </c>
      <c r="C293" t="s">
        <v>410</v>
      </c>
      <c r="D293" s="1">
        <v>45720</v>
      </c>
      <c r="E293">
        <v>240</v>
      </c>
      <c r="F293">
        <v>50</v>
      </c>
      <c r="G293">
        <v>9</v>
      </c>
      <c r="H293">
        <v>725</v>
      </c>
    </row>
    <row r="294" spans="1:8" x14ac:dyDescent="0.35">
      <c r="A294" t="s">
        <v>457</v>
      </c>
      <c r="B294" t="s">
        <v>9</v>
      </c>
      <c r="C294" t="s">
        <v>212</v>
      </c>
      <c r="D294" s="1">
        <v>45627</v>
      </c>
      <c r="E294">
        <v>4231</v>
      </c>
      <c r="F294">
        <v>3900</v>
      </c>
      <c r="G294">
        <v>778</v>
      </c>
      <c r="H294">
        <v>12196.5</v>
      </c>
    </row>
    <row r="295" spans="1:8" x14ac:dyDescent="0.35">
      <c r="A295" t="s">
        <v>458</v>
      </c>
      <c r="B295" t="s">
        <v>24</v>
      </c>
      <c r="C295" t="s">
        <v>459</v>
      </c>
      <c r="D295" s="1">
        <v>45769</v>
      </c>
      <c r="E295">
        <v>3163</v>
      </c>
      <c r="F295">
        <v>557</v>
      </c>
      <c r="G295">
        <v>84</v>
      </c>
      <c r="H295">
        <v>11160</v>
      </c>
    </row>
    <row r="296" spans="1:8" x14ac:dyDescent="0.35">
      <c r="A296" t="s">
        <v>460</v>
      </c>
      <c r="B296" t="s">
        <v>21</v>
      </c>
      <c r="C296" t="s">
        <v>369</v>
      </c>
      <c r="D296" s="1">
        <v>45818</v>
      </c>
      <c r="E296">
        <v>96</v>
      </c>
      <c r="F296">
        <v>71</v>
      </c>
      <c r="G296">
        <v>1</v>
      </c>
      <c r="H296">
        <v>668</v>
      </c>
    </row>
    <row r="297" spans="1:8" x14ac:dyDescent="0.35">
      <c r="A297" t="s">
        <v>461</v>
      </c>
      <c r="B297" t="s">
        <v>21</v>
      </c>
      <c r="C297" t="s">
        <v>41</v>
      </c>
      <c r="D297" s="1">
        <v>45838</v>
      </c>
      <c r="E297">
        <v>2005</v>
      </c>
      <c r="F297">
        <v>1707</v>
      </c>
      <c r="G297">
        <v>232</v>
      </c>
      <c r="H297">
        <v>14848</v>
      </c>
    </row>
    <row r="298" spans="1:8" x14ac:dyDescent="0.35">
      <c r="A298" t="s">
        <v>462</v>
      </c>
      <c r="B298" t="s">
        <v>21</v>
      </c>
      <c r="C298" t="s">
        <v>159</v>
      </c>
      <c r="D298" s="1">
        <v>45824</v>
      </c>
      <c r="E298">
        <v>4311</v>
      </c>
      <c r="F298">
        <v>445</v>
      </c>
      <c r="G298">
        <v>58</v>
      </c>
      <c r="H298">
        <v>19024</v>
      </c>
    </row>
    <row r="299" spans="1:8" x14ac:dyDescent="0.35">
      <c r="A299" t="s">
        <v>463</v>
      </c>
      <c r="B299" t="s">
        <v>9</v>
      </c>
      <c r="C299" t="s">
        <v>149</v>
      </c>
      <c r="D299" s="1">
        <v>45646</v>
      </c>
      <c r="E299">
        <v>2511</v>
      </c>
      <c r="F299">
        <v>727</v>
      </c>
      <c r="G299">
        <v>83</v>
      </c>
      <c r="H299">
        <v>4857</v>
      </c>
    </row>
    <row r="300" spans="1:8" x14ac:dyDescent="0.35">
      <c r="A300" t="s">
        <v>464</v>
      </c>
      <c r="B300" t="s">
        <v>32</v>
      </c>
      <c r="C300" t="s">
        <v>37</v>
      </c>
      <c r="D300" s="1">
        <v>45686</v>
      </c>
      <c r="E300">
        <v>3644</v>
      </c>
      <c r="F300">
        <v>2236</v>
      </c>
      <c r="G300">
        <v>72</v>
      </c>
      <c r="H300">
        <v>29400</v>
      </c>
    </row>
    <row r="301" spans="1:8" x14ac:dyDescent="0.35">
      <c r="A301" t="s">
        <v>465</v>
      </c>
      <c r="B301" t="s">
        <v>21</v>
      </c>
      <c r="C301" t="s">
        <v>155</v>
      </c>
      <c r="D301" s="1">
        <v>45827</v>
      </c>
      <c r="E301">
        <v>3079</v>
      </c>
      <c r="F301">
        <v>1397</v>
      </c>
      <c r="G301">
        <v>203</v>
      </c>
      <c r="H301">
        <v>17904</v>
      </c>
    </row>
    <row r="302" spans="1:8" x14ac:dyDescent="0.35">
      <c r="A302" t="s">
        <v>466</v>
      </c>
      <c r="B302" t="s">
        <v>21</v>
      </c>
      <c r="C302" t="s">
        <v>246</v>
      </c>
      <c r="D302" s="1">
        <v>45824</v>
      </c>
      <c r="E302">
        <v>2134</v>
      </c>
      <c r="F302">
        <v>31</v>
      </c>
      <c r="G302">
        <v>3</v>
      </c>
      <c r="H302">
        <v>8660</v>
      </c>
    </row>
    <row r="303" spans="1:8" x14ac:dyDescent="0.35">
      <c r="A303" t="s">
        <v>467</v>
      </c>
      <c r="B303" t="s">
        <v>18</v>
      </c>
      <c r="C303" t="s">
        <v>331</v>
      </c>
      <c r="D303" s="1">
        <v>45717</v>
      </c>
      <c r="E303">
        <v>4106</v>
      </c>
      <c r="F303">
        <v>2236</v>
      </c>
      <c r="G303">
        <v>188</v>
      </c>
      <c r="H303">
        <v>15855</v>
      </c>
    </row>
    <row r="304" spans="1:8" x14ac:dyDescent="0.35">
      <c r="A304" t="s">
        <v>468</v>
      </c>
      <c r="B304" t="s">
        <v>18</v>
      </c>
      <c r="C304" t="s">
        <v>35</v>
      </c>
      <c r="D304" s="1">
        <v>45729</v>
      </c>
      <c r="E304">
        <v>2379</v>
      </c>
      <c r="F304">
        <v>714</v>
      </c>
      <c r="G304">
        <v>70</v>
      </c>
      <c r="H304">
        <v>7732.5</v>
      </c>
    </row>
    <row r="305" spans="1:8" x14ac:dyDescent="0.35">
      <c r="A305" t="s">
        <v>469</v>
      </c>
      <c r="B305" t="s">
        <v>21</v>
      </c>
      <c r="C305" t="s">
        <v>90</v>
      </c>
      <c r="D305" s="1">
        <v>45822</v>
      </c>
      <c r="E305">
        <v>1683</v>
      </c>
      <c r="F305">
        <v>1412</v>
      </c>
      <c r="G305">
        <v>141</v>
      </c>
      <c r="H305">
        <v>12380</v>
      </c>
    </row>
    <row r="306" spans="1:8" x14ac:dyDescent="0.35">
      <c r="A306" t="s">
        <v>470</v>
      </c>
      <c r="B306" t="s">
        <v>32</v>
      </c>
      <c r="C306" t="s">
        <v>92</v>
      </c>
      <c r="D306" s="1">
        <v>45685</v>
      </c>
      <c r="E306">
        <v>3108</v>
      </c>
      <c r="F306">
        <v>1192</v>
      </c>
      <c r="G306">
        <v>125</v>
      </c>
      <c r="H306">
        <v>21500</v>
      </c>
    </row>
    <row r="307" spans="1:8" x14ac:dyDescent="0.35">
      <c r="A307" t="s">
        <v>471</v>
      </c>
      <c r="B307" t="s">
        <v>24</v>
      </c>
      <c r="C307" t="s">
        <v>472</v>
      </c>
      <c r="D307" s="1">
        <v>45763</v>
      </c>
      <c r="E307">
        <v>4413</v>
      </c>
      <c r="F307">
        <v>2334</v>
      </c>
      <c r="G307">
        <v>46</v>
      </c>
      <c r="H307">
        <v>20241</v>
      </c>
    </row>
    <row r="308" spans="1:8" x14ac:dyDescent="0.35">
      <c r="A308" t="s">
        <v>473</v>
      </c>
      <c r="B308" t="s">
        <v>9</v>
      </c>
      <c r="C308" t="s">
        <v>41</v>
      </c>
      <c r="D308" s="1">
        <v>45638</v>
      </c>
      <c r="E308">
        <v>1554</v>
      </c>
      <c r="F308">
        <v>911</v>
      </c>
      <c r="G308">
        <v>94</v>
      </c>
      <c r="H308">
        <v>3697.5</v>
      </c>
    </row>
    <row r="309" spans="1:8" x14ac:dyDescent="0.35">
      <c r="A309" t="s">
        <v>474</v>
      </c>
      <c r="B309" t="s">
        <v>9</v>
      </c>
      <c r="C309" t="s">
        <v>475</v>
      </c>
      <c r="D309" s="1">
        <v>45628</v>
      </c>
      <c r="E309">
        <v>4020</v>
      </c>
      <c r="F309">
        <v>4020</v>
      </c>
      <c r="G309">
        <v>549</v>
      </c>
      <c r="H309">
        <v>12060</v>
      </c>
    </row>
    <row r="310" spans="1:8" x14ac:dyDescent="0.35">
      <c r="A310" t="s">
        <v>476</v>
      </c>
      <c r="B310" t="s">
        <v>9</v>
      </c>
      <c r="C310" t="s">
        <v>149</v>
      </c>
      <c r="D310" s="1">
        <v>45635</v>
      </c>
      <c r="E310">
        <v>4570</v>
      </c>
      <c r="F310">
        <v>1223</v>
      </c>
      <c r="G310">
        <v>73</v>
      </c>
      <c r="H310">
        <v>8689.5</v>
      </c>
    </row>
    <row r="311" spans="1:8" x14ac:dyDescent="0.35">
      <c r="A311" t="s">
        <v>477</v>
      </c>
      <c r="B311" t="s">
        <v>24</v>
      </c>
      <c r="C311" t="s">
        <v>172</v>
      </c>
      <c r="D311" s="1">
        <v>45757</v>
      </c>
      <c r="E311">
        <v>4530</v>
      </c>
      <c r="F311">
        <v>621</v>
      </c>
      <c r="G311">
        <v>14</v>
      </c>
      <c r="H311">
        <v>15453</v>
      </c>
    </row>
    <row r="312" spans="1:8" x14ac:dyDescent="0.35">
      <c r="A312" t="s">
        <v>478</v>
      </c>
      <c r="B312" t="s">
        <v>9</v>
      </c>
      <c r="C312" t="s">
        <v>303</v>
      </c>
      <c r="D312" s="1">
        <v>45638</v>
      </c>
      <c r="E312">
        <v>2416</v>
      </c>
      <c r="F312">
        <v>3</v>
      </c>
      <c r="G312">
        <v>0</v>
      </c>
      <c r="H312">
        <v>3628.5</v>
      </c>
    </row>
    <row r="313" spans="1:8" x14ac:dyDescent="0.35">
      <c r="A313" t="s">
        <v>479</v>
      </c>
      <c r="B313" t="s">
        <v>24</v>
      </c>
      <c r="C313" t="s">
        <v>480</v>
      </c>
      <c r="D313" s="1">
        <v>45763</v>
      </c>
      <c r="E313">
        <v>4675</v>
      </c>
      <c r="F313">
        <v>3205</v>
      </c>
      <c r="G313">
        <v>204</v>
      </c>
      <c r="H313">
        <v>23640</v>
      </c>
    </row>
    <row r="314" spans="1:8" x14ac:dyDescent="0.35">
      <c r="A314" t="s">
        <v>481</v>
      </c>
      <c r="B314" t="s">
        <v>18</v>
      </c>
      <c r="C314" t="s">
        <v>480</v>
      </c>
      <c r="D314" s="1">
        <v>45727</v>
      </c>
      <c r="E314">
        <v>2506</v>
      </c>
      <c r="F314">
        <v>1331</v>
      </c>
      <c r="G314">
        <v>32</v>
      </c>
      <c r="H314">
        <v>9592.5</v>
      </c>
    </row>
    <row r="315" spans="1:8" x14ac:dyDescent="0.35">
      <c r="A315" t="s">
        <v>482</v>
      </c>
      <c r="B315" t="s">
        <v>18</v>
      </c>
      <c r="C315" t="s">
        <v>122</v>
      </c>
      <c r="D315" s="1">
        <v>45731</v>
      </c>
      <c r="E315">
        <v>1792</v>
      </c>
      <c r="F315">
        <v>516</v>
      </c>
      <c r="G315">
        <v>101</v>
      </c>
      <c r="H315">
        <v>5770</v>
      </c>
    </row>
    <row r="316" spans="1:8" x14ac:dyDescent="0.35">
      <c r="A316" t="s">
        <v>483</v>
      </c>
      <c r="B316" t="s">
        <v>9</v>
      </c>
      <c r="C316" t="s">
        <v>262</v>
      </c>
      <c r="D316" s="1">
        <v>45645</v>
      </c>
      <c r="E316">
        <v>926</v>
      </c>
      <c r="F316">
        <v>432</v>
      </c>
      <c r="G316">
        <v>82</v>
      </c>
      <c r="H316">
        <v>2037</v>
      </c>
    </row>
    <row r="317" spans="1:8" x14ac:dyDescent="0.35">
      <c r="A317" t="s">
        <v>484</v>
      </c>
      <c r="B317" t="s">
        <v>9</v>
      </c>
      <c r="C317" t="s">
        <v>360</v>
      </c>
      <c r="D317" s="1">
        <v>45632</v>
      </c>
      <c r="E317">
        <v>1539</v>
      </c>
      <c r="F317">
        <v>1262</v>
      </c>
      <c r="G317">
        <v>81</v>
      </c>
      <c r="H317">
        <v>4201.5</v>
      </c>
    </row>
    <row r="318" spans="1:8" x14ac:dyDescent="0.35">
      <c r="A318" t="s">
        <v>485</v>
      </c>
      <c r="B318" t="s">
        <v>18</v>
      </c>
      <c r="C318" t="s">
        <v>43</v>
      </c>
      <c r="D318" s="1">
        <v>45720</v>
      </c>
      <c r="E318">
        <v>3485</v>
      </c>
      <c r="F318">
        <v>1970</v>
      </c>
      <c r="G318">
        <v>162</v>
      </c>
      <c r="H318">
        <v>13637.5</v>
      </c>
    </row>
    <row r="319" spans="1:8" x14ac:dyDescent="0.35">
      <c r="A319" t="s">
        <v>486</v>
      </c>
      <c r="B319" t="s">
        <v>9</v>
      </c>
      <c r="C319" t="s">
        <v>487</v>
      </c>
      <c r="D319" s="1">
        <v>45629</v>
      </c>
      <c r="E319">
        <v>1703</v>
      </c>
      <c r="F319">
        <v>325</v>
      </c>
      <c r="G319">
        <v>7</v>
      </c>
      <c r="H319">
        <v>3042</v>
      </c>
    </row>
    <row r="320" spans="1:8" x14ac:dyDescent="0.35">
      <c r="A320" t="s">
        <v>488</v>
      </c>
      <c r="B320" t="s">
        <v>18</v>
      </c>
      <c r="C320" t="s">
        <v>489</v>
      </c>
      <c r="D320" s="1">
        <v>45717</v>
      </c>
      <c r="E320">
        <v>1168</v>
      </c>
      <c r="F320">
        <v>214</v>
      </c>
      <c r="G320">
        <v>28</v>
      </c>
      <c r="H320">
        <v>3455</v>
      </c>
    </row>
    <row r="321" spans="1:8" x14ac:dyDescent="0.35">
      <c r="A321" t="s">
        <v>490</v>
      </c>
      <c r="B321" t="s">
        <v>18</v>
      </c>
      <c r="C321" t="s">
        <v>491</v>
      </c>
      <c r="D321" s="1">
        <v>45723</v>
      </c>
      <c r="E321">
        <v>580</v>
      </c>
      <c r="F321">
        <v>278</v>
      </c>
      <c r="G321">
        <v>40</v>
      </c>
      <c r="H321">
        <v>2145</v>
      </c>
    </row>
    <row r="322" spans="1:8" x14ac:dyDescent="0.35">
      <c r="A322" t="s">
        <v>492</v>
      </c>
      <c r="B322" t="s">
        <v>24</v>
      </c>
      <c r="C322" t="s">
        <v>493</v>
      </c>
      <c r="D322" s="1">
        <v>45772</v>
      </c>
      <c r="E322">
        <v>2131</v>
      </c>
      <c r="F322">
        <v>1324</v>
      </c>
      <c r="G322">
        <v>35</v>
      </c>
      <c r="H322">
        <v>10365</v>
      </c>
    </row>
    <row r="323" spans="1:8" x14ac:dyDescent="0.35">
      <c r="A323" t="s">
        <v>494</v>
      </c>
      <c r="B323" t="s">
        <v>9</v>
      </c>
      <c r="C323" t="s">
        <v>360</v>
      </c>
      <c r="D323" s="1">
        <v>45634</v>
      </c>
      <c r="E323">
        <v>1670</v>
      </c>
      <c r="F323">
        <v>1490</v>
      </c>
      <c r="G323">
        <v>19</v>
      </c>
      <c r="H323">
        <v>4740</v>
      </c>
    </row>
    <row r="324" spans="1:8" x14ac:dyDescent="0.35">
      <c r="A324" t="s">
        <v>495</v>
      </c>
      <c r="B324" t="s">
        <v>32</v>
      </c>
      <c r="C324" t="s">
        <v>496</v>
      </c>
      <c r="D324" s="1">
        <v>45685</v>
      </c>
      <c r="E324">
        <v>2823</v>
      </c>
      <c r="F324">
        <v>1254</v>
      </c>
      <c r="G324">
        <v>44</v>
      </c>
      <c r="H324">
        <v>20385</v>
      </c>
    </row>
    <row r="325" spans="1:8" x14ac:dyDescent="0.35">
      <c r="A325" t="s">
        <v>497</v>
      </c>
      <c r="B325" t="s">
        <v>21</v>
      </c>
      <c r="C325" t="s">
        <v>498</v>
      </c>
      <c r="D325" s="1">
        <v>45833</v>
      </c>
      <c r="E325">
        <v>964</v>
      </c>
      <c r="F325">
        <v>923</v>
      </c>
      <c r="G325">
        <v>103</v>
      </c>
      <c r="H325">
        <v>7548</v>
      </c>
    </row>
    <row r="326" spans="1:8" x14ac:dyDescent="0.35">
      <c r="A326" t="s">
        <v>499</v>
      </c>
      <c r="B326" t="s">
        <v>21</v>
      </c>
      <c r="C326" t="s">
        <v>305</v>
      </c>
      <c r="D326" s="1">
        <v>45827</v>
      </c>
      <c r="E326">
        <v>3646</v>
      </c>
      <c r="F326">
        <v>226</v>
      </c>
      <c r="G326">
        <v>15</v>
      </c>
      <c r="H326">
        <v>15488</v>
      </c>
    </row>
    <row r="327" spans="1:8" x14ac:dyDescent="0.35">
      <c r="A327" t="s">
        <v>500</v>
      </c>
      <c r="B327" t="s">
        <v>9</v>
      </c>
      <c r="C327" t="s">
        <v>28</v>
      </c>
      <c r="D327" s="1">
        <v>45627</v>
      </c>
      <c r="E327">
        <v>540</v>
      </c>
      <c r="F327">
        <v>434</v>
      </c>
      <c r="G327">
        <v>16</v>
      </c>
      <c r="H327">
        <v>1461</v>
      </c>
    </row>
    <row r="328" spans="1:8" x14ac:dyDescent="0.35">
      <c r="A328" t="s">
        <v>501</v>
      </c>
      <c r="B328" t="s">
        <v>9</v>
      </c>
      <c r="C328" t="s">
        <v>202</v>
      </c>
      <c r="D328" s="1">
        <v>45640</v>
      </c>
      <c r="E328">
        <v>1657</v>
      </c>
      <c r="F328">
        <v>1625</v>
      </c>
      <c r="G328">
        <v>109</v>
      </c>
      <c r="H328">
        <v>4923</v>
      </c>
    </row>
    <row r="329" spans="1:8" x14ac:dyDescent="0.35">
      <c r="A329" t="s">
        <v>502</v>
      </c>
      <c r="B329" t="s">
        <v>32</v>
      </c>
      <c r="C329" t="s">
        <v>28</v>
      </c>
      <c r="D329" s="1">
        <v>45679</v>
      </c>
      <c r="E329">
        <v>2209</v>
      </c>
      <c r="F329">
        <v>1146</v>
      </c>
      <c r="G329">
        <v>22</v>
      </c>
      <c r="H329">
        <v>16775</v>
      </c>
    </row>
    <row r="330" spans="1:8" x14ac:dyDescent="0.35">
      <c r="A330" t="s">
        <v>503</v>
      </c>
      <c r="B330" t="s">
        <v>21</v>
      </c>
      <c r="C330" t="s">
        <v>338</v>
      </c>
      <c r="D330" s="1">
        <v>45837</v>
      </c>
      <c r="E330">
        <v>3795</v>
      </c>
      <c r="F330">
        <v>1556</v>
      </c>
      <c r="G330">
        <v>158</v>
      </c>
      <c r="H330">
        <v>21404</v>
      </c>
    </row>
    <row r="331" spans="1:8" x14ac:dyDescent="0.35">
      <c r="A331" t="s">
        <v>504</v>
      </c>
      <c r="B331" t="s">
        <v>32</v>
      </c>
      <c r="C331" t="s">
        <v>505</v>
      </c>
      <c r="D331" s="1">
        <v>45672</v>
      </c>
      <c r="E331">
        <v>3385</v>
      </c>
      <c r="F331">
        <v>256</v>
      </c>
      <c r="G331">
        <v>14</v>
      </c>
      <c r="H331">
        <v>18205</v>
      </c>
    </row>
    <row r="332" spans="1:8" x14ac:dyDescent="0.35">
      <c r="A332" t="s">
        <v>506</v>
      </c>
      <c r="B332" t="s">
        <v>21</v>
      </c>
      <c r="C332" t="s">
        <v>412</v>
      </c>
      <c r="D332" s="1">
        <v>45834</v>
      </c>
      <c r="E332">
        <v>4090</v>
      </c>
      <c r="F332">
        <v>4032</v>
      </c>
      <c r="G332">
        <v>493</v>
      </c>
      <c r="H332">
        <v>32488</v>
      </c>
    </row>
    <row r="333" spans="1:8" x14ac:dyDescent="0.35">
      <c r="A333" t="s">
        <v>507</v>
      </c>
      <c r="B333" t="s">
        <v>24</v>
      </c>
      <c r="C333" t="s">
        <v>194</v>
      </c>
      <c r="D333" s="1">
        <v>45771</v>
      </c>
      <c r="E333">
        <v>994</v>
      </c>
      <c r="F333">
        <v>603</v>
      </c>
      <c r="G333">
        <v>93</v>
      </c>
      <c r="H333">
        <v>4791</v>
      </c>
    </row>
    <row r="334" spans="1:8" x14ac:dyDescent="0.35">
      <c r="A334" t="s">
        <v>508</v>
      </c>
      <c r="B334" t="s">
        <v>21</v>
      </c>
      <c r="C334" t="s">
        <v>443</v>
      </c>
      <c r="D334" s="1">
        <v>45826</v>
      </c>
      <c r="E334">
        <v>2406</v>
      </c>
      <c r="F334">
        <v>830</v>
      </c>
      <c r="G334">
        <v>0</v>
      </c>
      <c r="H334">
        <v>12944</v>
      </c>
    </row>
    <row r="335" spans="1:8" x14ac:dyDescent="0.35">
      <c r="A335" t="s">
        <v>509</v>
      </c>
      <c r="B335" t="s">
        <v>32</v>
      </c>
      <c r="C335" t="s">
        <v>49</v>
      </c>
      <c r="D335" s="1">
        <v>45672</v>
      </c>
      <c r="E335">
        <v>2102</v>
      </c>
      <c r="F335">
        <v>1440</v>
      </c>
      <c r="G335">
        <v>283</v>
      </c>
      <c r="H335">
        <v>17710</v>
      </c>
    </row>
    <row r="336" spans="1:8" x14ac:dyDescent="0.35">
      <c r="A336" t="s">
        <v>510</v>
      </c>
      <c r="B336" t="s">
        <v>9</v>
      </c>
      <c r="C336" t="s">
        <v>511</v>
      </c>
      <c r="D336" s="1">
        <v>45643</v>
      </c>
      <c r="E336">
        <v>338</v>
      </c>
      <c r="F336">
        <v>334</v>
      </c>
      <c r="G336">
        <v>23</v>
      </c>
      <c r="H336">
        <v>1008</v>
      </c>
    </row>
    <row r="337" spans="1:8" x14ac:dyDescent="0.35">
      <c r="A337" t="s">
        <v>512</v>
      </c>
      <c r="B337" t="s">
        <v>18</v>
      </c>
      <c r="C337" t="s">
        <v>72</v>
      </c>
      <c r="D337" s="1">
        <v>45719</v>
      </c>
      <c r="E337">
        <v>3699</v>
      </c>
      <c r="F337">
        <v>3003</v>
      </c>
      <c r="G337">
        <v>125</v>
      </c>
      <c r="H337">
        <v>16755</v>
      </c>
    </row>
    <row r="338" spans="1:8" x14ac:dyDescent="0.35">
      <c r="A338" t="s">
        <v>513</v>
      </c>
      <c r="B338" t="s">
        <v>21</v>
      </c>
      <c r="C338" t="s">
        <v>68</v>
      </c>
      <c r="D338" s="1">
        <v>45823</v>
      </c>
      <c r="E338">
        <v>455</v>
      </c>
      <c r="F338">
        <v>426</v>
      </c>
      <c r="G338">
        <v>79</v>
      </c>
      <c r="H338">
        <v>3524</v>
      </c>
    </row>
    <row r="339" spans="1:8" x14ac:dyDescent="0.35">
      <c r="A339" t="s">
        <v>514</v>
      </c>
      <c r="B339" t="s">
        <v>21</v>
      </c>
      <c r="C339" t="s">
        <v>301</v>
      </c>
      <c r="D339" s="1">
        <v>45836</v>
      </c>
      <c r="E339">
        <v>929</v>
      </c>
      <c r="F339">
        <v>203</v>
      </c>
      <c r="G339">
        <v>39</v>
      </c>
      <c r="H339">
        <v>4528</v>
      </c>
    </row>
    <row r="340" spans="1:8" x14ac:dyDescent="0.35">
      <c r="A340" t="s">
        <v>515</v>
      </c>
      <c r="B340" t="s">
        <v>32</v>
      </c>
      <c r="C340" t="s">
        <v>249</v>
      </c>
      <c r="D340" s="1">
        <v>45673</v>
      </c>
      <c r="E340">
        <v>995</v>
      </c>
      <c r="F340">
        <v>539</v>
      </c>
      <c r="G340">
        <v>13</v>
      </c>
      <c r="H340">
        <v>7670</v>
      </c>
    </row>
    <row r="341" spans="1:8" x14ac:dyDescent="0.35">
      <c r="A341" t="s">
        <v>516</v>
      </c>
      <c r="B341" t="s">
        <v>21</v>
      </c>
      <c r="C341" t="s">
        <v>517</v>
      </c>
      <c r="D341" s="1">
        <v>45821</v>
      </c>
      <c r="E341">
        <v>2288</v>
      </c>
      <c r="F341">
        <v>345</v>
      </c>
      <c r="G341">
        <v>67</v>
      </c>
      <c r="H341">
        <v>10532</v>
      </c>
    </row>
    <row r="342" spans="1:8" x14ac:dyDescent="0.35">
      <c r="A342" t="s">
        <v>518</v>
      </c>
      <c r="B342" t="s">
        <v>24</v>
      </c>
      <c r="C342" t="s">
        <v>519</v>
      </c>
      <c r="D342" s="1">
        <v>45762</v>
      </c>
      <c r="E342">
        <v>2340</v>
      </c>
      <c r="F342">
        <v>375</v>
      </c>
      <c r="G342">
        <v>40</v>
      </c>
      <c r="H342">
        <v>8145</v>
      </c>
    </row>
    <row r="343" spans="1:8" x14ac:dyDescent="0.35">
      <c r="A343" t="s">
        <v>520</v>
      </c>
      <c r="B343" t="s">
        <v>21</v>
      </c>
      <c r="C343" t="s">
        <v>145</v>
      </c>
      <c r="D343" s="1">
        <v>45824</v>
      </c>
      <c r="E343">
        <v>4932</v>
      </c>
      <c r="F343">
        <v>41</v>
      </c>
      <c r="G343">
        <v>6</v>
      </c>
      <c r="H343">
        <v>19892</v>
      </c>
    </row>
    <row r="344" spans="1:8" x14ac:dyDescent="0.35">
      <c r="A344" t="s">
        <v>521</v>
      </c>
      <c r="B344" t="s">
        <v>18</v>
      </c>
      <c r="C344" t="s">
        <v>262</v>
      </c>
      <c r="D344" s="1">
        <v>45731</v>
      </c>
      <c r="E344">
        <v>1837</v>
      </c>
      <c r="F344">
        <v>1286</v>
      </c>
      <c r="G344">
        <v>249</v>
      </c>
      <c r="H344">
        <v>7807.5</v>
      </c>
    </row>
    <row r="345" spans="1:8" x14ac:dyDescent="0.35">
      <c r="A345" t="s">
        <v>522</v>
      </c>
      <c r="B345" t="s">
        <v>21</v>
      </c>
      <c r="C345" t="s">
        <v>94</v>
      </c>
      <c r="D345" s="1">
        <v>45828</v>
      </c>
      <c r="E345">
        <v>2011</v>
      </c>
      <c r="F345">
        <v>1802</v>
      </c>
      <c r="G345">
        <v>344</v>
      </c>
      <c r="H345">
        <v>15252</v>
      </c>
    </row>
    <row r="346" spans="1:8" x14ac:dyDescent="0.35">
      <c r="A346" t="s">
        <v>523</v>
      </c>
      <c r="B346" t="s">
        <v>24</v>
      </c>
      <c r="C346" t="s">
        <v>151</v>
      </c>
      <c r="D346" s="1">
        <v>45758</v>
      </c>
      <c r="E346">
        <v>4826</v>
      </c>
      <c r="F346">
        <v>1465</v>
      </c>
      <c r="G346">
        <v>120</v>
      </c>
      <c r="H346">
        <v>18873</v>
      </c>
    </row>
    <row r="347" spans="1:8" x14ac:dyDescent="0.35">
      <c r="A347" t="s">
        <v>524</v>
      </c>
      <c r="B347" t="s">
        <v>21</v>
      </c>
      <c r="C347" t="s">
        <v>131</v>
      </c>
      <c r="D347" s="1">
        <v>45820</v>
      </c>
      <c r="E347">
        <v>4336</v>
      </c>
      <c r="F347">
        <v>2771</v>
      </c>
      <c r="G347">
        <v>303</v>
      </c>
      <c r="H347">
        <v>28428</v>
      </c>
    </row>
    <row r="348" spans="1:8" x14ac:dyDescent="0.35">
      <c r="A348" t="s">
        <v>525</v>
      </c>
      <c r="B348" t="s">
        <v>9</v>
      </c>
      <c r="C348" t="s">
        <v>526</v>
      </c>
      <c r="D348" s="1">
        <v>45632</v>
      </c>
      <c r="E348">
        <v>4190</v>
      </c>
      <c r="F348">
        <v>1242</v>
      </c>
      <c r="G348">
        <v>66</v>
      </c>
      <c r="H348">
        <v>8148</v>
      </c>
    </row>
    <row r="349" spans="1:8" x14ac:dyDescent="0.35">
      <c r="A349" t="s">
        <v>527</v>
      </c>
      <c r="B349" t="s">
        <v>18</v>
      </c>
      <c r="C349" t="s">
        <v>51</v>
      </c>
      <c r="D349" s="1">
        <v>45721</v>
      </c>
      <c r="E349">
        <v>1308</v>
      </c>
      <c r="F349">
        <v>117</v>
      </c>
      <c r="G349">
        <v>0</v>
      </c>
      <c r="H349">
        <v>3562.5</v>
      </c>
    </row>
    <row r="350" spans="1:8" x14ac:dyDescent="0.35">
      <c r="A350" t="s">
        <v>528</v>
      </c>
      <c r="B350" t="s">
        <v>24</v>
      </c>
      <c r="C350" t="s">
        <v>215</v>
      </c>
      <c r="D350" s="1">
        <v>45767</v>
      </c>
      <c r="E350">
        <v>3690</v>
      </c>
      <c r="F350">
        <v>893</v>
      </c>
      <c r="G350">
        <v>6</v>
      </c>
      <c r="H350">
        <v>13749</v>
      </c>
    </row>
    <row r="351" spans="1:8" x14ac:dyDescent="0.35">
      <c r="A351" t="s">
        <v>529</v>
      </c>
      <c r="B351" t="s">
        <v>24</v>
      </c>
      <c r="C351" t="s">
        <v>530</v>
      </c>
      <c r="D351" s="1">
        <v>45760</v>
      </c>
      <c r="E351">
        <v>2892</v>
      </c>
      <c r="F351">
        <v>464</v>
      </c>
      <c r="G351">
        <v>18</v>
      </c>
      <c r="H351">
        <v>10068</v>
      </c>
    </row>
    <row r="352" spans="1:8" x14ac:dyDescent="0.35">
      <c r="A352" t="s">
        <v>531</v>
      </c>
      <c r="B352" t="s">
        <v>24</v>
      </c>
      <c r="C352" t="s">
        <v>163</v>
      </c>
      <c r="D352" s="1">
        <v>45762</v>
      </c>
      <c r="E352">
        <v>1774</v>
      </c>
      <c r="F352">
        <v>157</v>
      </c>
      <c r="G352">
        <v>3</v>
      </c>
      <c r="H352">
        <v>5793</v>
      </c>
    </row>
    <row r="353" spans="1:8" x14ac:dyDescent="0.35">
      <c r="A353" t="s">
        <v>532</v>
      </c>
      <c r="B353" t="s">
        <v>32</v>
      </c>
      <c r="C353" t="s">
        <v>16</v>
      </c>
      <c r="D353" s="1">
        <v>45674</v>
      </c>
      <c r="E353">
        <v>795</v>
      </c>
      <c r="F353">
        <v>399</v>
      </c>
      <c r="G353">
        <v>23</v>
      </c>
      <c r="H353">
        <v>5970</v>
      </c>
    </row>
    <row r="354" spans="1:8" x14ac:dyDescent="0.35">
      <c r="A354" t="s">
        <v>533</v>
      </c>
      <c r="B354" t="s">
        <v>32</v>
      </c>
      <c r="C354" t="s">
        <v>221</v>
      </c>
      <c r="D354" s="1">
        <v>45687</v>
      </c>
      <c r="E354">
        <v>2715</v>
      </c>
      <c r="F354">
        <v>1573</v>
      </c>
      <c r="G354">
        <v>228</v>
      </c>
      <c r="H354">
        <v>21440</v>
      </c>
    </row>
    <row r="355" spans="1:8" x14ac:dyDescent="0.35">
      <c r="A355" t="s">
        <v>534</v>
      </c>
      <c r="B355" t="s">
        <v>21</v>
      </c>
      <c r="C355" t="s">
        <v>81</v>
      </c>
      <c r="D355" s="1">
        <v>45829</v>
      </c>
      <c r="E355">
        <v>82</v>
      </c>
      <c r="F355">
        <v>3</v>
      </c>
      <c r="G355">
        <v>1</v>
      </c>
      <c r="H355">
        <v>340</v>
      </c>
    </row>
    <row r="356" spans="1:8" x14ac:dyDescent="0.35">
      <c r="A356" t="s">
        <v>535</v>
      </c>
      <c r="B356" t="s">
        <v>18</v>
      </c>
      <c r="C356" t="s">
        <v>241</v>
      </c>
      <c r="D356" s="1">
        <v>45722</v>
      </c>
      <c r="E356">
        <v>3174</v>
      </c>
      <c r="F356">
        <v>1764</v>
      </c>
      <c r="G356">
        <v>24</v>
      </c>
      <c r="H356">
        <v>12345</v>
      </c>
    </row>
    <row r="357" spans="1:8" x14ac:dyDescent="0.35">
      <c r="A357" t="s">
        <v>536</v>
      </c>
      <c r="B357" t="s">
        <v>32</v>
      </c>
      <c r="C357" t="s">
        <v>234</v>
      </c>
      <c r="D357" s="1">
        <v>45677</v>
      </c>
      <c r="E357">
        <v>1486</v>
      </c>
      <c r="F357">
        <v>552</v>
      </c>
      <c r="G357">
        <v>81</v>
      </c>
      <c r="H357">
        <v>10190</v>
      </c>
    </row>
    <row r="358" spans="1:8" x14ac:dyDescent="0.35">
      <c r="A358" t="s">
        <v>537</v>
      </c>
      <c r="B358" t="s">
        <v>32</v>
      </c>
      <c r="C358" t="s">
        <v>273</v>
      </c>
      <c r="D358" s="1">
        <v>45689</v>
      </c>
      <c r="E358">
        <v>2247</v>
      </c>
      <c r="F358">
        <v>1012</v>
      </c>
      <c r="G358">
        <v>133</v>
      </c>
      <c r="H358">
        <v>16295</v>
      </c>
    </row>
    <row r="359" spans="1:8" x14ac:dyDescent="0.35">
      <c r="A359" t="s">
        <v>538</v>
      </c>
      <c r="B359" t="s">
        <v>32</v>
      </c>
      <c r="C359" t="s">
        <v>539</v>
      </c>
      <c r="D359" s="1">
        <v>45679</v>
      </c>
      <c r="E359">
        <v>2130</v>
      </c>
      <c r="F359">
        <v>1132</v>
      </c>
      <c r="G359">
        <v>18</v>
      </c>
      <c r="H359">
        <v>16310</v>
      </c>
    </row>
    <row r="360" spans="1:8" x14ac:dyDescent="0.35">
      <c r="A360" t="s">
        <v>540</v>
      </c>
      <c r="B360" t="s">
        <v>18</v>
      </c>
      <c r="C360" t="s">
        <v>438</v>
      </c>
      <c r="D360" s="1">
        <v>45723</v>
      </c>
      <c r="E360">
        <v>4474</v>
      </c>
      <c r="F360">
        <v>3598</v>
      </c>
      <c r="G360">
        <v>228</v>
      </c>
      <c r="H360">
        <v>20180</v>
      </c>
    </row>
    <row r="361" spans="1:8" x14ac:dyDescent="0.35">
      <c r="A361" t="s">
        <v>541</v>
      </c>
      <c r="B361" t="s">
        <v>9</v>
      </c>
      <c r="C361" t="s">
        <v>170</v>
      </c>
      <c r="D361" s="1">
        <v>45629</v>
      </c>
      <c r="E361">
        <v>2346</v>
      </c>
      <c r="F361">
        <v>382</v>
      </c>
      <c r="G361">
        <v>16</v>
      </c>
      <c r="H361">
        <v>4092</v>
      </c>
    </row>
    <row r="362" spans="1:8" x14ac:dyDescent="0.35">
      <c r="A362" t="s">
        <v>542</v>
      </c>
      <c r="B362" t="s">
        <v>21</v>
      </c>
      <c r="C362" t="s">
        <v>449</v>
      </c>
      <c r="D362" s="1">
        <v>45820</v>
      </c>
      <c r="E362">
        <v>747</v>
      </c>
      <c r="F362">
        <v>218</v>
      </c>
      <c r="G362">
        <v>9</v>
      </c>
      <c r="H362">
        <v>3860</v>
      </c>
    </row>
    <row r="363" spans="1:8" x14ac:dyDescent="0.35">
      <c r="A363" t="s">
        <v>543</v>
      </c>
      <c r="B363" t="s">
        <v>9</v>
      </c>
      <c r="C363" t="s">
        <v>54</v>
      </c>
      <c r="D363" s="1">
        <v>45629</v>
      </c>
      <c r="E363">
        <v>4198</v>
      </c>
      <c r="F363">
        <v>2184</v>
      </c>
      <c r="G363">
        <v>336</v>
      </c>
      <c r="H363">
        <v>9573</v>
      </c>
    </row>
    <row r="364" spans="1:8" x14ac:dyDescent="0.35">
      <c r="A364" t="s">
        <v>544</v>
      </c>
      <c r="B364" t="s">
        <v>18</v>
      </c>
      <c r="C364" t="s">
        <v>163</v>
      </c>
      <c r="D364" s="1">
        <v>45718</v>
      </c>
      <c r="E364">
        <v>4199</v>
      </c>
      <c r="F364">
        <v>2738</v>
      </c>
      <c r="G364">
        <v>152</v>
      </c>
      <c r="H364">
        <v>17342.5</v>
      </c>
    </row>
    <row r="365" spans="1:8" x14ac:dyDescent="0.35">
      <c r="A365" t="s">
        <v>545</v>
      </c>
      <c r="B365" t="s">
        <v>18</v>
      </c>
      <c r="C365" t="s">
        <v>215</v>
      </c>
      <c r="D365" s="1">
        <v>45717</v>
      </c>
      <c r="E365">
        <v>1881</v>
      </c>
      <c r="F365">
        <v>620</v>
      </c>
      <c r="G365">
        <v>62</v>
      </c>
      <c r="H365">
        <v>6252.5</v>
      </c>
    </row>
    <row r="366" spans="1:8" x14ac:dyDescent="0.35">
      <c r="A366" t="s">
        <v>546</v>
      </c>
      <c r="B366" t="s">
        <v>9</v>
      </c>
      <c r="C366" t="s">
        <v>547</v>
      </c>
      <c r="D366" s="1">
        <v>45645</v>
      </c>
      <c r="E366">
        <v>889</v>
      </c>
      <c r="F366">
        <v>539</v>
      </c>
      <c r="G366">
        <v>60</v>
      </c>
      <c r="H366">
        <v>2142</v>
      </c>
    </row>
    <row r="367" spans="1:8" x14ac:dyDescent="0.35">
      <c r="A367" t="s">
        <v>548</v>
      </c>
      <c r="B367" t="s">
        <v>9</v>
      </c>
      <c r="C367" t="s">
        <v>312</v>
      </c>
      <c r="D367" s="1">
        <v>45640</v>
      </c>
      <c r="E367">
        <v>3616</v>
      </c>
      <c r="F367">
        <v>2415</v>
      </c>
      <c r="G367">
        <v>49</v>
      </c>
      <c r="H367">
        <v>9046.5</v>
      </c>
    </row>
    <row r="368" spans="1:8" x14ac:dyDescent="0.35">
      <c r="A368" t="s">
        <v>549</v>
      </c>
      <c r="B368" t="s">
        <v>24</v>
      </c>
      <c r="C368" t="s">
        <v>260</v>
      </c>
      <c r="D368" s="1">
        <v>45758</v>
      </c>
      <c r="E368">
        <v>1771</v>
      </c>
      <c r="F368">
        <v>414</v>
      </c>
      <c r="G368">
        <v>51</v>
      </c>
      <c r="H368">
        <v>6555</v>
      </c>
    </row>
    <row r="369" spans="1:8" x14ac:dyDescent="0.35">
      <c r="A369" t="s">
        <v>550</v>
      </c>
      <c r="B369" t="s">
        <v>9</v>
      </c>
      <c r="C369" t="s">
        <v>352</v>
      </c>
      <c r="D369" s="1">
        <v>45629</v>
      </c>
      <c r="E369">
        <v>3319</v>
      </c>
      <c r="F369">
        <v>2045</v>
      </c>
      <c r="G369">
        <v>100</v>
      </c>
      <c r="H369">
        <v>8046</v>
      </c>
    </row>
    <row r="370" spans="1:8" x14ac:dyDescent="0.35">
      <c r="A370" t="s">
        <v>551</v>
      </c>
      <c r="B370" t="s">
        <v>18</v>
      </c>
      <c r="C370" t="s">
        <v>511</v>
      </c>
      <c r="D370" s="1">
        <v>45721</v>
      </c>
      <c r="E370">
        <v>441</v>
      </c>
      <c r="F370">
        <v>204</v>
      </c>
      <c r="G370">
        <v>29</v>
      </c>
      <c r="H370">
        <v>1612.5</v>
      </c>
    </row>
    <row r="371" spans="1:8" x14ac:dyDescent="0.35">
      <c r="A371" t="s">
        <v>552</v>
      </c>
      <c r="B371" t="s">
        <v>21</v>
      </c>
      <c r="C371" t="s">
        <v>553</v>
      </c>
      <c r="D371" s="1">
        <v>45826</v>
      </c>
      <c r="E371">
        <v>4907</v>
      </c>
      <c r="F371">
        <v>2869</v>
      </c>
      <c r="G371">
        <v>502</v>
      </c>
      <c r="H371">
        <v>31104</v>
      </c>
    </row>
    <row r="372" spans="1:8" x14ac:dyDescent="0.35">
      <c r="A372" t="s">
        <v>554</v>
      </c>
      <c r="B372" t="s">
        <v>9</v>
      </c>
      <c r="C372" t="s">
        <v>331</v>
      </c>
      <c r="D372" s="1">
        <v>45640</v>
      </c>
      <c r="E372">
        <v>4448</v>
      </c>
      <c r="F372">
        <v>33</v>
      </c>
      <c r="G372">
        <v>4</v>
      </c>
      <c r="H372">
        <v>6721.5</v>
      </c>
    </row>
    <row r="373" spans="1:8" x14ac:dyDescent="0.35">
      <c r="A373" t="s">
        <v>555</v>
      </c>
      <c r="B373" t="s">
        <v>18</v>
      </c>
      <c r="C373" t="s">
        <v>496</v>
      </c>
      <c r="D373" s="1">
        <v>45731</v>
      </c>
      <c r="E373">
        <v>3281</v>
      </c>
      <c r="F373">
        <v>2647</v>
      </c>
      <c r="G373">
        <v>293</v>
      </c>
      <c r="H373">
        <v>14820</v>
      </c>
    </row>
    <row r="374" spans="1:8" x14ac:dyDescent="0.35">
      <c r="A374" t="s">
        <v>556</v>
      </c>
      <c r="B374" t="s">
        <v>32</v>
      </c>
      <c r="C374" t="s">
        <v>294</v>
      </c>
      <c r="D374" s="1">
        <v>45678</v>
      </c>
      <c r="E374">
        <v>2497</v>
      </c>
      <c r="F374">
        <v>329</v>
      </c>
      <c r="G374">
        <v>38</v>
      </c>
      <c r="H374">
        <v>14130</v>
      </c>
    </row>
    <row r="375" spans="1:8" x14ac:dyDescent="0.35">
      <c r="A375" t="s">
        <v>557</v>
      </c>
      <c r="B375" t="s">
        <v>24</v>
      </c>
      <c r="C375" t="s">
        <v>174</v>
      </c>
      <c r="D375" s="1">
        <v>45759</v>
      </c>
      <c r="E375">
        <v>720</v>
      </c>
      <c r="F375">
        <v>679</v>
      </c>
      <c r="G375">
        <v>9</v>
      </c>
      <c r="H375">
        <v>4197</v>
      </c>
    </row>
    <row r="376" spans="1:8" x14ac:dyDescent="0.35">
      <c r="A376" t="s">
        <v>558</v>
      </c>
      <c r="B376" t="s">
        <v>32</v>
      </c>
      <c r="C376" t="s">
        <v>108</v>
      </c>
      <c r="D376" s="1">
        <v>45690</v>
      </c>
      <c r="E376">
        <v>3352</v>
      </c>
      <c r="F376">
        <v>3159</v>
      </c>
      <c r="G376">
        <v>505</v>
      </c>
      <c r="H376">
        <v>32555</v>
      </c>
    </row>
    <row r="377" spans="1:8" x14ac:dyDescent="0.35">
      <c r="A377" t="s">
        <v>559</v>
      </c>
      <c r="B377" t="s">
        <v>21</v>
      </c>
      <c r="C377" t="s">
        <v>424</v>
      </c>
      <c r="D377" s="1">
        <v>45838</v>
      </c>
      <c r="E377">
        <v>3819</v>
      </c>
      <c r="F377">
        <v>296</v>
      </c>
      <c r="G377">
        <v>17</v>
      </c>
      <c r="H377">
        <v>16460</v>
      </c>
    </row>
    <row r="378" spans="1:8" x14ac:dyDescent="0.35">
      <c r="A378" t="s">
        <v>560</v>
      </c>
      <c r="B378" t="s">
        <v>32</v>
      </c>
      <c r="C378" t="s">
        <v>435</v>
      </c>
      <c r="D378" s="1">
        <v>45682</v>
      </c>
      <c r="E378">
        <v>3661</v>
      </c>
      <c r="F378">
        <v>3097</v>
      </c>
      <c r="G378">
        <v>352</v>
      </c>
      <c r="H378">
        <v>33790</v>
      </c>
    </row>
    <row r="379" spans="1:8" x14ac:dyDescent="0.35">
      <c r="A379" t="s">
        <v>561</v>
      </c>
      <c r="B379" t="s">
        <v>21</v>
      </c>
      <c r="C379" t="s">
        <v>217</v>
      </c>
      <c r="D379" s="1">
        <v>45823</v>
      </c>
      <c r="E379">
        <v>2948</v>
      </c>
      <c r="F379">
        <v>2805</v>
      </c>
      <c r="G379">
        <v>13</v>
      </c>
      <c r="H379">
        <v>23012</v>
      </c>
    </row>
    <row r="380" spans="1:8" x14ac:dyDescent="0.35">
      <c r="A380" t="s">
        <v>562</v>
      </c>
      <c r="B380" t="s">
        <v>24</v>
      </c>
      <c r="C380" t="s">
        <v>563</v>
      </c>
      <c r="D380" s="1">
        <v>45772</v>
      </c>
      <c r="E380">
        <v>4054</v>
      </c>
      <c r="F380">
        <v>597</v>
      </c>
      <c r="G380">
        <v>88</v>
      </c>
      <c r="H380">
        <v>13953</v>
      </c>
    </row>
    <row r="381" spans="1:8" x14ac:dyDescent="0.35">
      <c r="A381" t="s">
        <v>564</v>
      </c>
      <c r="B381" t="s">
        <v>21</v>
      </c>
      <c r="C381" t="s">
        <v>56</v>
      </c>
      <c r="D381" s="1">
        <v>45832</v>
      </c>
      <c r="E381">
        <v>1004</v>
      </c>
      <c r="F381">
        <v>38</v>
      </c>
      <c r="G381">
        <v>0</v>
      </c>
      <c r="H381">
        <v>4168</v>
      </c>
    </row>
    <row r="382" spans="1:8" x14ac:dyDescent="0.35">
      <c r="A382" t="s">
        <v>565</v>
      </c>
      <c r="B382" t="s">
        <v>32</v>
      </c>
      <c r="C382" t="s">
        <v>566</v>
      </c>
      <c r="D382" s="1">
        <v>45685</v>
      </c>
      <c r="E382">
        <v>3733</v>
      </c>
      <c r="F382">
        <v>3475</v>
      </c>
      <c r="G382">
        <v>206</v>
      </c>
      <c r="H382">
        <v>36040</v>
      </c>
    </row>
    <row r="383" spans="1:8" x14ac:dyDescent="0.35">
      <c r="A383" t="s">
        <v>567</v>
      </c>
      <c r="B383" t="s">
        <v>18</v>
      </c>
      <c r="C383" t="s">
        <v>112</v>
      </c>
      <c r="D383" s="1">
        <v>45725</v>
      </c>
      <c r="E383">
        <v>1970</v>
      </c>
      <c r="F383">
        <v>379</v>
      </c>
      <c r="G383">
        <v>11</v>
      </c>
      <c r="H383">
        <v>5872.5</v>
      </c>
    </row>
    <row r="384" spans="1:8" x14ac:dyDescent="0.35">
      <c r="A384" t="s">
        <v>568</v>
      </c>
      <c r="B384" t="s">
        <v>24</v>
      </c>
      <c r="C384" t="s">
        <v>569</v>
      </c>
      <c r="D384" s="1">
        <v>45771</v>
      </c>
      <c r="E384">
        <v>123</v>
      </c>
      <c r="F384">
        <v>28</v>
      </c>
      <c r="G384">
        <v>1</v>
      </c>
      <c r="H384">
        <v>453</v>
      </c>
    </row>
    <row r="385" spans="1:8" x14ac:dyDescent="0.35">
      <c r="A385" t="s">
        <v>570</v>
      </c>
      <c r="B385" t="s">
        <v>32</v>
      </c>
      <c r="C385" t="s">
        <v>262</v>
      </c>
      <c r="D385" s="1">
        <v>45686</v>
      </c>
      <c r="E385">
        <v>3507</v>
      </c>
      <c r="F385">
        <v>443</v>
      </c>
      <c r="G385">
        <v>27</v>
      </c>
      <c r="H385">
        <v>19750</v>
      </c>
    </row>
    <row r="386" spans="1:8" x14ac:dyDescent="0.35">
      <c r="A386" t="s">
        <v>571</v>
      </c>
      <c r="B386" t="s">
        <v>24</v>
      </c>
      <c r="C386" t="s">
        <v>85</v>
      </c>
      <c r="D386" s="1">
        <v>45767</v>
      </c>
      <c r="E386">
        <v>2118</v>
      </c>
      <c r="F386">
        <v>779</v>
      </c>
      <c r="G386">
        <v>120</v>
      </c>
      <c r="H386">
        <v>8691</v>
      </c>
    </row>
    <row r="387" spans="1:8" x14ac:dyDescent="0.35">
      <c r="A387" t="s">
        <v>572</v>
      </c>
      <c r="B387" t="s">
        <v>18</v>
      </c>
      <c r="C387" t="s">
        <v>56</v>
      </c>
      <c r="D387" s="1">
        <v>45718</v>
      </c>
      <c r="E387">
        <v>964</v>
      </c>
      <c r="F387">
        <v>660</v>
      </c>
      <c r="G387">
        <v>94</v>
      </c>
      <c r="H387">
        <v>4060</v>
      </c>
    </row>
    <row r="388" spans="1:8" x14ac:dyDescent="0.35">
      <c r="A388" t="s">
        <v>573</v>
      </c>
      <c r="B388" t="s">
        <v>18</v>
      </c>
      <c r="C388" t="s">
        <v>79</v>
      </c>
      <c r="D388" s="1">
        <v>45721</v>
      </c>
      <c r="E388">
        <v>1308</v>
      </c>
      <c r="F388">
        <v>321</v>
      </c>
      <c r="G388">
        <v>31</v>
      </c>
      <c r="H388">
        <v>4072.5</v>
      </c>
    </row>
    <row r="389" spans="1:8" x14ac:dyDescent="0.35">
      <c r="A389" t="s">
        <v>574</v>
      </c>
      <c r="B389" t="s">
        <v>21</v>
      </c>
      <c r="C389" t="s">
        <v>575</v>
      </c>
      <c r="D389" s="1">
        <v>45828</v>
      </c>
      <c r="E389">
        <v>4977</v>
      </c>
      <c r="F389">
        <v>725</v>
      </c>
      <c r="G389">
        <v>62</v>
      </c>
      <c r="H389">
        <v>22808</v>
      </c>
    </row>
    <row r="390" spans="1:8" x14ac:dyDescent="0.35">
      <c r="A390" t="s">
        <v>576</v>
      </c>
      <c r="B390" t="s">
        <v>32</v>
      </c>
      <c r="C390" t="s">
        <v>505</v>
      </c>
      <c r="D390" s="1">
        <v>45693</v>
      </c>
      <c r="E390">
        <v>2756</v>
      </c>
      <c r="F390">
        <v>1152</v>
      </c>
      <c r="G390">
        <v>213</v>
      </c>
      <c r="H390">
        <v>19540</v>
      </c>
    </row>
    <row r="391" spans="1:8" x14ac:dyDescent="0.35">
      <c r="A391" t="s">
        <v>577</v>
      </c>
      <c r="B391" t="s">
        <v>18</v>
      </c>
      <c r="C391" t="s">
        <v>45</v>
      </c>
      <c r="D391" s="1">
        <v>45728</v>
      </c>
      <c r="E391">
        <v>3475</v>
      </c>
      <c r="F391">
        <v>2768</v>
      </c>
      <c r="G391">
        <v>157</v>
      </c>
      <c r="H391">
        <v>15607.5</v>
      </c>
    </row>
    <row r="392" spans="1:8" x14ac:dyDescent="0.35">
      <c r="A392" t="s">
        <v>578</v>
      </c>
      <c r="B392" t="s">
        <v>21</v>
      </c>
      <c r="C392" t="s">
        <v>579</v>
      </c>
      <c r="D392" s="1">
        <v>45823</v>
      </c>
      <c r="E392">
        <v>296</v>
      </c>
      <c r="F392">
        <v>6</v>
      </c>
      <c r="G392">
        <v>1</v>
      </c>
      <c r="H392">
        <v>1208</v>
      </c>
    </row>
    <row r="393" spans="1:8" x14ac:dyDescent="0.35">
      <c r="A393" t="s">
        <v>580</v>
      </c>
      <c r="B393" t="s">
        <v>9</v>
      </c>
      <c r="C393" t="s">
        <v>581</v>
      </c>
      <c r="D393" s="1">
        <v>45642</v>
      </c>
      <c r="E393">
        <v>982</v>
      </c>
      <c r="F393">
        <v>164</v>
      </c>
      <c r="G393">
        <v>19</v>
      </c>
      <c r="H393">
        <v>1719</v>
      </c>
    </row>
    <row r="394" spans="1:8" x14ac:dyDescent="0.35">
      <c r="A394" t="s">
        <v>582</v>
      </c>
      <c r="B394" t="s">
        <v>32</v>
      </c>
      <c r="C394" t="s">
        <v>221</v>
      </c>
      <c r="D394" s="1">
        <v>45681</v>
      </c>
      <c r="E394">
        <v>294</v>
      </c>
      <c r="F394">
        <v>104</v>
      </c>
      <c r="G394">
        <v>3</v>
      </c>
      <c r="H394">
        <v>1990</v>
      </c>
    </row>
    <row r="395" spans="1:8" x14ac:dyDescent="0.35">
      <c r="A395" t="s">
        <v>583</v>
      </c>
      <c r="B395" t="s">
        <v>9</v>
      </c>
      <c r="C395" t="s">
        <v>584</v>
      </c>
      <c r="D395" s="1">
        <v>45628</v>
      </c>
      <c r="E395">
        <v>1748</v>
      </c>
      <c r="F395">
        <v>153</v>
      </c>
      <c r="G395">
        <v>12</v>
      </c>
      <c r="H395">
        <v>2851.5</v>
      </c>
    </row>
    <row r="396" spans="1:8" x14ac:dyDescent="0.35">
      <c r="A396" t="s">
        <v>585</v>
      </c>
      <c r="B396" t="s">
        <v>21</v>
      </c>
      <c r="C396" t="s">
        <v>208</v>
      </c>
      <c r="D396" s="1">
        <v>45824</v>
      </c>
      <c r="E396">
        <v>2297</v>
      </c>
      <c r="F396">
        <v>402</v>
      </c>
      <c r="G396">
        <v>78</v>
      </c>
      <c r="H396">
        <v>10796</v>
      </c>
    </row>
    <row r="397" spans="1:8" x14ac:dyDescent="0.35">
      <c r="A397" t="s">
        <v>586</v>
      </c>
      <c r="B397" t="s">
        <v>9</v>
      </c>
      <c r="C397" t="s">
        <v>587</v>
      </c>
      <c r="D397" s="1">
        <v>45640</v>
      </c>
      <c r="E397">
        <v>1806</v>
      </c>
      <c r="F397">
        <v>1113</v>
      </c>
      <c r="G397">
        <v>177</v>
      </c>
      <c r="H397">
        <v>4378.5</v>
      </c>
    </row>
    <row r="398" spans="1:8" x14ac:dyDescent="0.35">
      <c r="A398" t="s">
        <v>588</v>
      </c>
      <c r="B398" t="s">
        <v>18</v>
      </c>
      <c r="C398" t="s">
        <v>589</v>
      </c>
      <c r="D398" s="1">
        <v>45727</v>
      </c>
      <c r="E398">
        <v>4341</v>
      </c>
      <c r="F398">
        <v>1085</v>
      </c>
      <c r="G398">
        <v>209</v>
      </c>
      <c r="H398">
        <v>13565</v>
      </c>
    </row>
    <row r="399" spans="1:8" x14ac:dyDescent="0.35">
      <c r="A399" t="s">
        <v>590</v>
      </c>
      <c r="B399" t="s">
        <v>21</v>
      </c>
      <c r="C399" t="s">
        <v>206</v>
      </c>
      <c r="D399" s="1">
        <v>45835</v>
      </c>
      <c r="E399">
        <v>1974</v>
      </c>
      <c r="F399">
        <v>819</v>
      </c>
      <c r="G399">
        <v>106</v>
      </c>
      <c r="H399">
        <v>11172</v>
      </c>
    </row>
    <row r="400" spans="1:8" x14ac:dyDescent="0.35">
      <c r="A400" t="s">
        <v>591</v>
      </c>
      <c r="B400" t="s">
        <v>24</v>
      </c>
      <c r="C400" t="s">
        <v>260</v>
      </c>
      <c r="D400" s="1">
        <v>45772</v>
      </c>
      <c r="E400">
        <v>540</v>
      </c>
      <c r="F400">
        <v>372</v>
      </c>
      <c r="G400">
        <v>59</v>
      </c>
      <c r="H400">
        <v>2736</v>
      </c>
    </row>
    <row r="401" spans="1:8" x14ac:dyDescent="0.35">
      <c r="A401" t="s">
        <v>592</v>
      </c>
      <c r="B401" t="s">
        <v>18</v>
      </c>
      <c r="C401" t="s">
        <v>94</v>
      </c>
      <c r="D401" s="1">
        <v>45726</v>
      </c>
      <c r="E401">
        <v>697</v>
      </c>
      <c r="F401">
        <v>287</v>
      </c>
      <c r="G401">
        <v>13</v>
      </c>
      <c r="H401">
        <v>2460</v>
      </c>
    </row>
    <row r="402" spans="1:8" x14ac:dyDescent="0.35">
      <c r="A402" t="s">
        <v>593</v>
      </c>
      <c r="B402" t="s">
        <v>32</v>
      </c>
      <c r="C402" t="s">
        <v>206</v>
      </c>
      <c r="D402" s="1">
        <v>45681</v>
      </c>
      <c r="E402">
        <v>4637</v>
      </c>
      <c r="F402">
        <v>3843</v>
      </c>
      <c r="G402">
        <v>385</v>
      </c>
      <c r="H402">
        <v>42400</v>
      </c>
    </row>
    <row r="403" spans="1:8" x14ac:dyDescent="0.35">
      <c r="A403" t="s">
        <v>594</v>
      </c>
      <c r="B403" t="s">
        <v>9</v>
      </c>
      <c r="C403" t="s">
        <v>387</v>
      </c>
      <c r="D403" s="1">
        <v>45630</v>
      </c>
      <c r="E403">
        <v>4595</v>
      </c>
      <c r="F403">
        <v>1218</v>
      </c>
      <c r="G403">
        <v>197</v>
      </c>
      <c r="H403">
        <v>8719.5</v>
      </c>
    </row>
    <row r="404" spans="1:8" x14ac:dyDescent="0.35">
      <c r="A404" t="s">
        <v>595</v>
      </c>
      <c r="B404" t="s">
        <v>24</v>
      </c>
      <c r="C404" t="s">
        <v>253</v>
      </c>
      <c r="D404" s="1">
        <v>45757</v>
      </c>
      <c r="E404">
        <v>1292</v>
      </c>
      <c r="F404">
        <v>169</v>
      </c>
      <c r="G404">
        <v>31</v>
      </c>
      <c r="H404">
        <v>4383</v>
      </c>
    </row>
    <row r="405" spans="1:8" x14ac:dyDescent="0.35">
      <c r="A405" t="s">
        <v>596</v>
      </c>
      <c r="B405" t="s">
        <v>21</v>
      </c>
      <c r="C405" t="s">
        <v>105</v>
      </c>
      <c r="D405" s="1">
        <v>45838</v>
      </c>
      <c r="E405">
        <v>1804</v>
      </c>
      <c r="F405">
        <v>1042</v>
      </c>
      <c r="G405">
        <v>54</v>
      </c>
      <c r="H405">
        <v>11384</v>
      </c>
    </row>
    <row r="406" spans="1:8" x14ac:dyDescent="0.35">
      <c r="A406" t="s">
        <v>597</v>
      </c>
      <c r="B406" t="s">
        <v>18</v>
      </c>
      <c r="C406" t="s">
        <v>194</v>
      </c>
      <c r="D406" s="1">
        <v>45731</v>
      </c>
      <c r="E406">
        <v>1121</v>
      </c>
      <c r="F406">
        <v>479</v>
      </c>
      <c r="G406">
        <v>18</v>
      </c>
      <c r="H406">
        <v>4000</v>
      </c>
    </row>
    <row r="407" spans="1:8" x14ac:dyDescent="0.35">
      <c r="A407" t="s">
        <v>598</v>
      </c>
      <c r="B407" t="s">
        <v>24</v>
      </c>
      <c r="C407" t="s">
        <v>72</v>
      </c>
      <c r="D407" s="1">
        <v>45758</v>
      </c>
      <c r="E407">
        <v>283</v>
      </c>
      <c r="F407">
        <v>202</v>
      </c>
      <c r="G407">
        <v>33</v>
      </c>
      <c r="H407">
        <v>1455</v>
      </c>
    </row>
    <row r="408" spans="1:8" x14ac:dyDescent="0.35">
      <c r="A408" t="s">
        <v>599</v>
      </c>
      <c r="B408" t="s">
        <v>18</v>
      </c>
      <c r="C408" t="s">
        <v>449</v>
      </c>
      <c r="D408" s="1">
        <v>45723</v>
      </c>
      <c r="E408">
        <v>3267</v>
      </c>
      <c r="F408">
        <v>1880</v>
      </c>
      <c r="G408">
        <v>289</v>
      </c>
      <c r="H408">
        <v>12867.5</v>
      </c>
    </row>
    <row r="409" spans="1:8" x14ac:dyDescent="0.35">
      <c r="A409" t="s">
        <v>600</v>
      </c>
      <c r="B409" t="s">
        <v>24</v>
      </c>
      <c r="C409" t="s">
        <v>72</v>
      </c>
      <c r="D409" s="1">
        <v>45762</v>
      </c>
      <c r="E409">
        <v>3427</v>
      </c>
      <c r="F409">
        <v>1637</v>
      </c>
      <c r="G409">
        <v>284</v>
      </c>
      <c r="H409">
        <v>15192</v>
      </c>
    </row>
    <row r="410" spans="1:8" x14ac:dyDescent="0.35">
      <c r="A410" t="s">
        <v>601</v>
      </c>
      <c r="B410" t="s">
        <v>18</v>
      </c>
      <c r="C410" t="s">
        <v>170</v>
      </c>
      <c r="D410" s="1">
        <v>45726</v>
      </c>
      <c r="E410">
        <v>4158</v>
      </c>
      <c r="F410">
        <v>3037</v>
      </c>
      <c r="G410">
        <v>4</v>
      </c>
      <c r="H410">
        <v>17987.5</v>
      </c>
    </row>
    <row r="411" spans="1:8" x14ac:dyDescent="0.35">
      <c r="A411" t="s">
        <v>602</v>
      </c>
      <c r="B411" t="s">
        <v>21</v>
      </c>
      <c r="C411" t="s">
        <v>547</v>
      </c>
      <c r="D411" s="1">
        <v>45827</v>
      </c>
      <c r="E411">
        <v>2453</v>
      </c>
      <c r="F411">
        <v>2224</v>
      </c>
      <c r="G411">
        <v>327</v>
      </c>
      <c r="H411">
        <v>18708</v>
      </c>
    </row>
    <row r="412" spans="1:8" x14ac:dyDescent="0.35">
      <c r="A412" t="s">
        <v>603</v>
      </c>
      <c r="B412" t="s">
        <v>21</v>
      </c>
      <c r="C412" t="s">
        <v>406</v>
      </c>
      <c r="D412" s="1">
        <v>45826</v>
      </c>
      <c r="E412">
        <v>2713</v>
      </c>
      <c r="F412">
        <v>2503</v>
      </c>
      <c r="G412">
        <v>29</v>
      </c>
      <c r="H412">
        <v>20864</v>
      </c>
    </row>
    <row r="413" spans="1:8" x14ac:dyDescent="0.35">
      <c r="A413" t="s">
        <v>604</v>
      </c>
      <c r="B413" t="s">
        <v>18</v>
      </c>
      <c r="C413" t="s">
        <v>68</v>
      </c>
      <c r="D413" s="1">
        <v>45722</v>
      </c>
      <c r="E413">
        <v>87</v>
      </c>
      <c r="F413">
        <v>54</v>
      </c>
      <c r="G413">
        <v>7</v>
      </c>
      <c r="H413">
        <v>352.5</v>
      </c>
    </row>
    <row r="414" spans="1:8" x14ac:dyDescent="0.35">
      <c r="A414" t="s">
        <v>605</v>
      </c>
      <c r="B414" t="s">
        <v>21</v>
      </c>
      <c r="C414" t="s">
        <v>194</v>
      </c>
      <c r="D414" s="1">
        <v>45825</v>
      </c>
      <c r="E414">
        <v>4705</v>
      </c>
      <c r="F414">
        <v>4454</v>
      </c>
      <c r="G414">
        <v>615</v>
      </c>
      <c r="H414">
        <v>36636</v>
      </c>
    </row>
    <row r="415" spans="1:8" x14ac:dyDescent="0.35">
      <c r="A415" t="s">
        <v>606</v>
      </c>
      <c r="B415" t="s">
        <v>18</v>
      </c>
      <c r="C415" t="s">
        <v>344</v>
      </c>
      <c r="D415" s="1">
        <v>45721</v>
      </c>
      <c r="E415">
        <v>2546</v>
      </c>
      <c r="F415">
        <v>1201</v>
      </c>
      <c r="G415">
        <v>129</v>
      </c>
      <c r="H415">
        <v>9367.5</v>
      </c>
    </row>
    <row r="416" spans="1:8" x14ac:dyDescent="0.35">
      <c r="A416" t="s">
        <v>607</v>
      </c>
      <c r="B416" t="s">
        <v>24</v>
      </c>
      <c r="C416" t="s">
        <v>511</v>
      </c>
      <c r="D416" s="1">
        <v>45771</v>
      </c>
      <c r="E416">
        <v>3488</v>
      </c>
      <c r="F416">
        <v>3215</v>
      </c>
      <c r="G416">
        <v>334</v>
      </c>
      <c r="H416">
        <v>20109</v>
      </c>
    </row>
    <row r="417" spans="1:8" x14ac:dyDescent="0.35">
      <c r="A417" t="s">
        <v>608</v>
      </c>
      <c r="B417" t="s">
        <v>21</v>
      </c>
      <c r="C417" t="s">
        <v>184</v>
      </c>
      <c r="D417" s="1">
        <v>45822</v>
      </c>
      <c r="E417">
        <v>3366</v>
      </c>
      <c r="F417">
        <v>2957</v>
      </c>
      <c r="G417">
        <v>331</v>
      </c>
      <c r="H417">
        <v>25292</v>
      </c>
    </row>
    <row r="418" spans="1:8" x14ac:dyDescent="0.35">
      <c r="A418" t="s">
        <v>609</v>
      </c>
      <c r="B418" t="s">
        <v>21</v>
      </c>
      <c r="C418" t="s">
        <v>290</v>
      </c>
      <c r="D418" s="1">
        <v>45829</v>
      </c>
      <c r="E418">
        <v>843</v>
      </c>
      <c r="F418">
        <v>126</v>
      </c>
      <c r="G418">
        <v>1</v>
      </c>
      <c r="H418">
        <v>3876</v>
      </c>
    </row>
    <row r="419" spans="1:8" x14ac:dyDescent="0.35">
      <c r="A419" t="s">
        <v>610</v>
      </c>
      <c r="B419" t="s">
        <v>18</v>
      </c>
      <c r="C419" t="s">
        <v>64</v>
      </c>
      <c r="D419" s="1">
        <v>45726</v>
      </c>
      <c r="E419">
        <v>3202</v>
      </c>
      <c r="F419">
        <v>2942</v>
      </c>
      <c r="G419">
        <v>209</v>
      </c>
      <c r="H419">
        <v>15360</v>
      </c>
    </row>
    <row r="420" spans="1:8" x14ac:dyDescent="0.35">
      <c r="A420" t="s">
        <v>611</v>
      </c>
      <c r="B420" t="s">
        <v>32</v>
      </c>
      <c r="C420" t="s">
        <v>294</v>
      </c>
      <c r="D420" s="1">
        <v>45692</v>
      </c>
      <c r="E420">
        <v>4883</v>
      </c>
      <c r="F420">
        <v>3420</v>
      </c>
      <c r="G420">
        <v>328</v>
      </c>
      <c r="H420">
        <v>41515</v>
      </c>
    </row>
    <row r="421" spans="1:8" x14ac:dyDescent="0.35">
      <c r="A421" t="s">
        <v>612</v>
      </c>
      <c r="B421" t="s">
        <v>21</v>
      </c>
      <c r="C421" t="s">
        <v>346</v>
      </c>
      <c r="D421" s="1">
        <v>45822</v>
      </c>
      <c r="E421">
        <v>1971</v>
      </c>
      <c r="F421">
        <v>869</v>
      </c>
      <c r="G421">
        <v>167</v>
      </c>
      <c r="H421">
        <v>11360</v>
      </c>
    </row>
    <row r="422" spans="1:8" x14ac:dyDescent="0.35">
      <c r="A422" t="s">
        <v>613</v>
      </c>
      <c r="B422" t="s">
        <v>18</v>
      </c>
      <c r="C422" t="s">
        <v>149</v>
      </c>
      <c r="D422" s="1">
        <v>45725</v>
      </c>
      <c r="E422">
        <v>4419</v>
      </c>
      <c r="F422">
        <v>925</v>
      </c>
      <c r="G422">
        <v>48</v>
      </c>
      <c r="H422">
        <v>13360</v>
      </c>
    </row>
    <row r="423" spans="1:8" x14ac:dyDescent="0.35">
      <c r="A423" t="s">
        <v>614</v>
      </c>
      <c r="B423" t="s">
        <v>18</v>
      </c>
      <c r="C423" t="s">
        <v>314</v>
      </c>
      <c r="D423" s="1">
        <v>45723</v>
      </c>
      <c r="E423">
        <v>2432</v>
      </c>
      <c r="F423">
        <v>1734</v>
      </c>
      <c r="G423">
        <v>215</v>
      </c>
      <c r="H423">
        <v>10415</v>
      </c>
    </row>
    <row r="424" spans="1:8" x14ac:dyDescent="0.35">
      <c r="A424" t="s">
        <v>615</v>
      </c>
      <c r="B424" t="s">
        <v>24</v>
      </c>
      <c r="C424" t="s">
        <v>519</v>
      </c>
      <c r="D424" s="1">
        <v>45766</v>
      </c>
      <c r="E424">
        <v>4775</v>
      </c>
      <c r="F424">
        <v>3140</v>
      </c>
      <c r="G424">
        <v>605</v>
      </c>
      <c r="H424">
        <v>23745</v>
      </c>
    </row>
    <row r="425" spans="1:8" x14ac:dyDescent="0.35">
      <c r="A425" t="s">
        <v>616</v>
      </c>
      <c r="B425" t="s">
        <v>9</v>
      </c>
      <c r="C425" t="s">
        <v>83</v>
      </c>
      <c r="D425" s="1">
        <v>45629</v>
      </c>
      <c r="E425">
        <v>786</v>
      </c>
      <c r="F425">
        <v>561</v>
      </c>
      <c r="G425">
        <v>16</v>
      </c>
      <c r="H425">
        <v>2020.5</v>
      </c>
    </row>
    <row r="426" spans="1:8" x14ac:dyDescent="0.35">
      <c r="A426" t="s">
        <v>617</v>
      </c>
      <c r="B426" t="s">
        <v>18</v>
      </c>
      <c r="C426" t="s">
        <v>475</v>
      </c>
      <c r="D426" s="1">
        <v>45731</v>
      </c>
      <c r="E426">
        <v>1364</v>
      </c>
      <c r="F426">
        <v>74</v>
      </c>
      <c r="G426">
        <v>8</v>
      </c>
      <c r="H426">
        <v>3595</v>
      </c>
    </row>
    <row r="427" spans="1:8" x14ac:dyDescent="0.35">
      <c r="A427" t="s">
        <v>618</v>
      </c>
      <c r="B427" t="s">
        <v>24</v>
      </c>
      <c r="C427" t="s">
        <v>505</v>
      </c>
      <c r="D427" s="1">
        <v>45759</v>
      </c>
      <c r="E427">
        <v>1055</v>
      </c>
      <c r="F427">
        <v>567</v>
      </c>
      <c r="G427">
        <v>83</v>
      </c>
      <c r="H427">
        <v>4866</v>
      </c>
    </row>
    <row r="428" spans="1:8" x14ac:dyDescent="0.35">
      <c r="A428" t="s">
        <v>619</v>
      </c>
      <c r="B428" t="s">
        <v>21</v>
      </c>
      <c r="C428" t="s">
        <v>620</v>
      </c>
      <c r="D428" s="1">
        <v>45833</v>
      </c>
      <c r="E428">
        <v>2461</v>
      </c>
      <c r="F428">
        <v>1874</v>
      </c>
      <c r="G428">
        <v>258</v>
      </c>
      <c r="H428">
        <v>17340</v>
      </c>
    </row>
    <row r="429" spans="1:8" x14ac:dyDescent="0.35">
      <c r="A429" t="s">
        <v>621</v>
      </c>
      <c r="B429" t="s">
        <v>32</v>
      </c>
      <c r="C429" t="s">
        <v>307</v>
      </c>
      <c r="D429" s="1">
        <v>45682</v>
      </c>
      <c r="E429">
        <v>2483</v>
      </c>
      <c r="F429">
        <v>2164</v>
      </c>
      <c r="G429">
        <v>283</v>
      </c>
      <c r="H429">
        <v>23235</v>
      </c>
    </row>
    <row r="430" spans="1:8" x14ac:dyDescent="0.35">
      <c r="A430" t="s">
        <v>622</v>
      </c>
      <c r="B430" t="s">
        <v>18</v>
      </c>
      <c r="C430" t="s">
        <v>430</v>
      </c>
      <c r="D430" s="1">
        <v>45727</v>
      </c>
      <c r="E430">
        <v>2398</v>
      </c>
      <c r="F430">
        <v>767</v>
      </c>
      <c r="G430">
        <v>44</v>
      </c>
      <c r="H430">
        <v>7912.5</v>
      </c>
    </row>
    <row r="431" spans="1:8" x14ac:dyDescent="0.35">
      <c r="A431" t="s">
        <v>623</v>
      </c>
      <c r="B431" t="s">
        <v>9</v>
      </c>
      <c r="C431" t="s">
        <v>172</v>
      </c>
      <c r="D431" s="1">
        <v>45636</v>
      </c>
      <c r="E431">
        <v>2380</v>
      </c>
      <c r="F431">
        <v>1348</v>
      </c>
      <c r="G431">
        <v>10</v>
      </c>
      <c r="H431">
        <v>5592</v>
      </c>
    </row>
    <row r="432" spans="1:8" x14ac:dyDescent="0.35">
      <c r="A432" t="s">
        <v>624</v>
      </c>
      <c r="B432" t="s">
        <v>21</v>
      </c>
      <c r="C432" t="s">
        <v>22</v>
      </c>
      <c r="D432" s="1">
        <v>45834</v>
      </c>
      <c r="E432">
        <v>4217</v>
      </c>
      <c r="F432">
        <v>2633</v>
      </c>
      <c r="G432">
        <v>328</v>
      </c>
      <c r="H432">
        <v>27400</v>
      </c>
    </row>
    <row r="433" spans="1:8" x14ac:dyDescent="0.35">
      <c r="A433" t="s">
        <v>625</v>
      </c>
      <c r="B433" t="s">
        <v>21</v>
      </c>
      <c r="C433" t="s">
        <v>28</v>
      </c>
      <c r="D433" s="1">
        <v>45835</v>
      </c>
      <c r="E433">
        <v>1724</v>
      </c>
      <c r="F433">
        <v>1714</v>
      </c>
      <c r="G433">
        <v>19</v>
      </c>
      <c r="H433">
        <v>13752</v>
      </c>
    </row>
    <row r="434" spans="1:8" x14ac:dyDescent="0.35">
      <c r="A434" t="s">
        <v>626</v>
      </c>
      <c r="B434" t="s">
        <v>24</v>
      </c>
      <c r="C434" t="s">
        <v>227</v>
      </c>
      <c r="D434" s="1">
        <v>45758</v>
      </c>
      <c r="E434">
        <v>3699</v>
      </c>
      <c r="F434">
        <v>406</v>
      </c>
      <c r="G434">
        <v>16</v>
      </c>
      <c r="H434">
        <v>12315</v>
      </c>
    </row>
    <row r="435" spans="1:8" x14ac:dyDescent="0.35">
      <c r="A435" t="s">
        <v>627</v>
      </c>
      <c r="B435" t="s">
        <v>24</v>
      </c>
      <c r="C435" t="s">
        <v>628</v>
      </c>
      <c r="D435" s="1">
        <v>45761</v>
      </c>
      <c r="E435">
        <v>3465</v>
      </c>
      <c r="F435">
        <v>1787</v>
      </c>
      <c r="G435">
        <v>157</v>
      </c>
      <c r="H435">
        <v>15756</v>
      </c>
    </row>
    <row r="436" spans="1:8" x14ac:dyDescent="0.35">
      <c r="A436" t="s">
        <v>629</v>
      </c>
      <c r="B436" t="s">
        <v>24</v>
      </c>
      <c r="C436" t="s">
        <v>630</v>
      </c>
      <c r="D436" s="1">
        <v>45759</v>
      </c>
      <c r="E436">
        <v>1765</v>
      </c>
      <c r="F436">
        <v>237</v>
      </c>
      <c r="G436">
        <v>18</v>
      </c>
      <c r="H436">
        <v>6006</v>
      </c>
    </row>
    <row r="437" spans="1:8" x14ac:dyDescent="0.35">
      <c r="A437" t="s">
        <v>631</v>
      </c>
      <c r="B437" t="s">
        <v>24</v>
      </c>
      <c r="C437" t="s">
        <v>234</v>
      </c>
      <c r="D437" s="1">
        <v>45760</v>
      </c>
      <c r="E437">
        <v>3525</v>
      </c>
      <c r="F437">
        <v>1733</v>
      </c>
      <c r="G437">
        <v>213</v>
      </c>
      <c r="H437">
        <v>15774</v>
      </c>
    </row>
    <row r="438" spans="1:8" x14ac:dyDescent="0.35">
      <c r="A438" t="s">
        <v>632</v>
      </c>
      <c r="B438" t="s">
        <v>21</v>
      </c>
      <c r="C438" t="s">
        <v>163</v>
      </c>
      <c r="D438" s="1">
        <v>45831</v>
      </c>
      <c r="E438">
        <v>318</v>
      </c>
      <c r="F438">
        <v>26</v>
      </c>
      <c r="G438">
        <v>3</v>
      </c>
      <c r="H438">
        <v>1376</v>
      </c>
    </row>
    <row r="439" spans="1:8" x14ac:dyDescent="0.35">
      <c r="A439" t="s">
        <v>633</v>
      </c>
      <c r="B439" t="s">
        <v>24</v>
      </c>
      <c r="C439" t="s">
        <v>58</v>
      </c>
      <c r="D439" s="1">
        <v>45763</v>
      </c>
      <c r="E439">
        <v>3200</v>
      </c>
      <c r="F439">
        <v>623</v>
      </c>
      <c r="G439">
        <v>8</v>
      </c>
      <c r="H439">
        <v>11469</v>
      </c>
    </row>
    <row r="440" spans="1:8" x14ac:dyDescent="0.35">
      <c r="A440" t="s">
        <v>634</v>
      </c>
      <c r="B440" t="s">
        <v>9</v>
      </c>
      <c r="C440" t="s">
        <v>77</v>
      </c>
      <c r="D440" s="1">
        <v>45631</v>
      </c>
      <c r="E440">
        <v>2847</v>
      </c>
      <c r="F440">
        <v>746</v>
      </c>
      <c r="G440">
        <v>12</v>
      </c>
      <c r="H440">
        <v>5389.5</v>
      </c>
    </row>
    <row r="441" spans="1:8" x14ac:dyDescent="0.35">
      <c r="A441" t="s">
        <v>635</v>
      </c>
      <c r="B441" t="s">
        <v>24</v>
      </c>
      <c r="C441" t="s">
        <v>424</v>
      </c>
      <c r="D441" s="1">
        <v>45771</v>
      </c>
      <c r="E441">
        <v>244</v>
      </c>
      <c r="F441">
        <v>21</v>
      </c>
      <c r="G441">
        <v>4</v>
      </c>
      <c r="H441">
        <v>795</v>
      </c>
    </row>
    <row r="442" spans="1:8" x14ac:dyDescent="0.35">
      <c r="A442" t="s">
        <v>636</v>
      </c>
      <c r="B442" t="s">
        <v>9</v>
      </c>
      <c r="C442" t="s">
        <v>312</v>
      </c>
      <c r="D442" s="1">
        <v>45643</v>
      </c>
      <c r="E442">
        <v>1203</v>
      </c>
      <c r="F442">
        <v>68</v>
      </c>
      <c r="G442">
        <v>8</v>
      </c>
      <c r="H442">
        <v>1906.5</v>
      </c>
    </row>
    <row r="443" spans="1:8" x14ac:dyDescent="0.35">
      <c r="A443" t="s">
        <v>637</v>
      </c>
      <c r="B443" t="s">
        <v>9</v>
      </c>
      <c r="C443" t="s">
        <v>265</v>
      </c>
      <c r="D443" s="1">
        <v>45632</v>
      </c>
      <c r="E443">
        <v>2844</v>
      </c>
      <c r="F443">
        <v>637</v>
      </c>
      <c r="G443">
        <v>104</v>
      </c>
      <c r="H443">
        <v>5221.5</v>
      </c>
    </row>
    <row r="444" spans="1:8" x14ac:dyDescent="0.35">
      <c r="A444" t="s">
        <v>638</v>
      </c>
      <c r="B444" t="s">
        <v>9</v>
      </c>
      <c r="C444" t="s">
        <v>579</v>
      </c>
      <c r="D444" s="1">
        <v>45627</v>
      </c>
      <c r="E444">
        <v>4041</v>
      </c>
      <c r="F444">
        <v>3442</v>
      </c>
      <c r="G444">
        <v>664</v>
      </c>
      <c r="H444">
        <v>11224.5</v>
      </c>
    </row>
    <row r="445" spans="1:8" x14ac:dyDescent="0.35">
      <c r="A445" t="s">
        <v>639</v>
      </c>
      <c r="B445" t="s">
        <v>9</v>
      </c>
      <c r="C445" t="s">
        <v>221</v>
      </c>
      <c r="D445" s="1">
        <v>45646</v>
      </c>
      <c r="E445">
        <v>1569</v>
      </c>
      <c r="F445">
        <v>1538</v>
      </c>
      <c r="G445">
        <v>225</v>
      </c>
      <c r="H445">
        <v>4660.5</v>
      </c>
    </row>
    <row r="446" spans="1:8" x14ac:dyDescent="0.35">
      <c r="A446" t="s">
        <v>640</v>
      </c>
      <c r="B446" t="s">
        <v>9</v>
      </c>
      <c r="C446" t="s">
        <v>324</v>
      </c>
      <c r="D446" s="1">
        <v>45633</v>
      </c>
      <c r="E446">
        <v>4058</v>
      </c>
      <c r="F446">
        <v>1244</v>
      </c>
      <c r="G446">
        <v>3</v>
      </c>
      <c r="H446">
        <v>7953</v>
      </c>
    </row>
    <row r="447" spans="1:8" x14ac:dyDescent="0.35">
      <c r="A447" t="s">
        <v>641</v>
      </c>
      <c r="B447" t="s">
        <v>24</v>
      </c>
      <c r="C447" t="s">
        <v>105</v>
      </c>
      <c r="D447" s="1">
        <v>45772</v>
      </c>
      <c r="E447">
        <v>89</v>
      </c>
      <c r="F447">
        <v>67</v>
      </c>
      <c r="G447">
        <v>7</v>
      </c>
      <c r="H447">
        <v>468</v>
      </c>
    </row>
    <row r="448" spans="1:8" x14ac:dyDescent="0.35">
      <c r="A448" t="s">
        <v>642</v>
      </c>
      <c r="B448" t="s">
        <v>24</v>
      </c>
      <c r="C448" t="s">
        <v>271</v>
      </c>
      <c r="D448" s="1">
        <v>45769</v>
      </c>
      <c r="E448">
        <v>4436</v>
      </c>
      <c r="F448">
        <v>4025</v>
      </c>
      <c r="G448">
        <v>452</v>
      </c>
      <c r="H448">
        <v>25383</v>
      </c>
    </row>
    <row r="449" spans="1:8" x14ac:dyDescent="0.35">
      <c r="A449" t="s">
        <v>643</v>
      </c>
      <c r="B449" t="s">
        <v>21</v>
      </c>
      <c r="C449" t="s">
        <v>644</v>
      </c>
      <c r="D449" s="1">
        <v>45830</v>
      </c>
      <c r="E449">
        <v>1549</v>
      </c>
      <c r="F449">
        <v>206</v>
      </c>
      <c r="G449">
        <v>16</v>
      </c>
      <c r="H449">
        <v>7020</v>
      </c>
    </row>
    <row r="450" spans="1:8" x14ac:dyDescent="0.35">
      <c r="A450" t="s">
        <v>645</v>
      </c>
      <c r="B450" t="s">
        <v>18</v>
      </c>
      <c r="C450" t="s">
        <v>151</v>
      </c>
      <c r="D450" s="1">
        <v>45726</v>
      </c>
      <c r="E450">
        <v>3615</v>
      </c>
      <c r="F450">
        <v>1939</v>
      </c>
      <c r="G450">
        <v>32</v>
      </c>
      <c r="H450">
        <v>13885</v>
      </c>
    </row>
    <row r="451" spans="1:8" x14ac:dyDescent="0.35">
      <c r="A451" t="s">
        <v>646</v>
      </c>
      <c r="B451" t="s">
        <v>32</v>
      </c>
      <c r="C451" t="s">
        <v>58</v>
      </c>
      <c r="D451" s="1">
        <v>45687</v>
      </c>
      <c r="E451">
        <v>758</v>
      </c>
      <c r="F451">
        <v>181</v>
      </c>
      <c r="G451">
        <v>19</v>
      </c>
      <c r="H451">
        <v>4695</v>
      </c>
    </row>
    <row r="452" spans="1:8" x14ac:dyDescent="0.35">
      <c r="A452" t="s">
        <v>647</v>
      </c>
      <c r="B452" t="s">
        <v>18</v>
      </c>
      <c r="C452" t="s">
        <v>241</v>
      </c>
      <c r="D452" s="1">
        <v>45721</v>
      </c>
      <c r="E452">
        <v>1474</v>
      </c>
      <c r="F452">
        <v>196</v>
      </c>
      <c r="G452">
        <v>1</v>
      </c>
      <c r="H452">
        <v>4175</v>
      </c>
    </row>
    <row r="453" spans="1:8" x14ac:dyDescent="0.35">
      <c r="A453" t="s">
        <v>648</v>
      </c>
      <c r="B453" t="s">
        <v>24</v>
      </c>
      <c r="C453" t="s">
        <v>394</v>
      </c>
      <c r="D453" s="1">
        <v>45767</v>
      </c>
      <c r="E453">
        <v>85</v>
      </c>
      <c r="F453">
        <v>40</v>
      </c>
      <c r="G453">
        <v>4</v>
      </c>
      <c r="H453">
        <v>375</v>
      </c>
    </row>
    <row r="454" spans="1:8" x14ac:dyDescent="0.35">
      <c r="A454" t="s">
        <v>649</v>
      </c>
      <c r="B454" t="s">
        <v>21</v>
      </c>
      <c r="C454" t="s">
        <v>275</v>
      </c>
      <c r="D454" s="1">
        <v>45827</v>
      </c>
      <c r="E454">
        <v>4656</v>
      </c>
      <c r="F454">
        <v>1011</v>
      </c>
      <c r="G454">
        <v>193</v>
      </c>
      <c r="H454">
        <v>22668</v>
      </c>
    </row>
    <row r="455" spans="1:8" x14ac:dyDescent="0.35">
      <c r="A455" t="s">
        <v>650</v>
      </c>
      <c r="B455" t="s">
        <v>9</v>
      </c>
      <c r="C455" t="s">
        <v>165</v>
      </c>
      <c r="D455" s="1">
        <v>45633</v>
      </c>
      <c r="E455">
        <v>4392</v>
      </c>
      <c r="F455">
        <v>1872</v>
      </c>
      <c r="G455">
        <v>160</v>
      </c>
      <c r="H455">
        <v>9396</v>
      </c>
    </row>
    <row r="456" spans="1:8" x14ac:dyDescent="0.35">
      <c r="A456" t="s">
        <v>651</v>
      </c>
      <c r="B456" t="s">
        <v>21</v>
      </c>
      <c r="C456" t="s">
        <v>491</v>
      </c>
      <c r="D456" s="1">
        <v>45830</v>
      </c>
      <c r="E456">
        <v>2138</v>
      </c>
      <c r="F456">
        <v>310</v>
      </c>
      <c r="G456">
        <v>25</v>
      </c>
      <c r="H456">
        <v>9792</v>
      </c>
    </row>
    <row r="457" spans="1:8" x14ac:dyDescent="0.35">
      <c r="A457" t="s">
        <v>652</v>
      </c>
      <c r="B457" t="s">
        <v>21</v>
      </c>
      <c r="C457" t="s">
        <v>114</v>
      </c>
      <c r="D457" s="1">
        <v>45821</v>
      </c>
      <c r="E457">
        <v>4591</v>
      </c>
      <c r="F457">
        <v>1071</v>
      </c>
      <c r="G457">
        <v>166</v>
      </c>
      <c r="H457">
        <v>22648</v>
      </c>
    </row>
    <row r="458" spans="1:8" x14ac:dyDescent="0.35">
      <c r="A458" t="s">
        <v>653</v>
      </c>
      <c r="B458" t="s">
        <v>18</v>
      </c>
      <c r="C458" t="s">
        <v>262</v>
      </c>
      <c r="D458" s="1">
        <v>45721</v>
      </c>
      <c r="E458">
        <v>4374</v>
      </c>
      <c r="F458">
        <v>1717</v>
      </c>
      <c r="G458">
        <v>48</v>
      </c>
      <c r="H458">
        <v>15227.5</v>
      </c>
    </row>
    <row r="459" spans="1:8" x14ac:dyDescent="0.35">
      <c r="A459" t="s">
        <v>654</v>
      </c>
      <c r="B459" t="s">
        <v>9</v>
      </c>
      <c r="C459" t="s">
        <v>234</v>
      </c>
      <c r="D459" s="1">
        <v>45627</v>
      </c>
      <c r="E459">
        <v>3174</v>
      </c>
      <c r="F459">
        <v>557</v>
      </c>
      <c r="G459">
        <v>101</v>
      </c>
      <c r="H459">
        <v>5596.5</v>
      </c>
    </row>
    <row r="460" spans="1:8" x14ac:dyDescent="0.35">
      <c r="A460" t="s">
        <v>655</v>
      </c>
      <c r="B460" t="s">
        <v>32</v>
      </c>
      <c r="C460" t="s">
        <v>94</v>
      </c>
      <c r="D460" s="1">
        <v>45685</v>
      </c>
      <c r="E460">
        <v>915</v>
      </c>
      <c r="F460">
        <v>666</v>
      </c>
      <c r="G460">
        <v>89</v>
      </c>
      <c r="H460">
        <v>7905</v>
      </c>
    </row>
    <row r="461" spans="1:8" x14ac:dyDescent="0.35">
      <c r="A461" t="s">
        <v>656</v>
      </c>
      <c r="B461" t="s">
        <v>18</v>
      </c>
      <c r="C461" t="s">
        <v>657</v>
      </c>
      <c r="D461" s="1">
        <v>45726</v>
      </c>
      <c r="E461">
        <v>454</v>
      </c>
      <c r="F461">
        <v>412</v>
      </c>
      <c r="G461">
        <v>12</v>
      </c>
      <c r="H461">
        <v>2165</v>
      </c>
    </row>
    <row r="462" spans="1:8" x14ac:dyDescent="0.35">
      <c r="A462" t="s">
        <v>658</v>
      </c>
      <c r="B462" t="s">
        <v>18</v>
      </c>
      <c r="C462" t="s">
        <v>147</v>
      </c>
      <c r="D462" s="1">
        <v>45728</v>
      </c>
      <c r="E462">
        <v>1008</v>
      </c>
      <c r="F462">
        <v>978</v>
      </c>
      <c r="G462">
        <v>188</v>
      </c>
      <c r="H462">
        <v>4965</v>
      </c>
    </row>
    <row r="463" spans="1:8" x14ac:dyDescent="0.35">
      <c r="A463" t="s">
        <v>659</v>
      </c>
      <c r="B463" t="s">
        <v>18</v>
      </c>
      <c r="C463" t="s">
        <v>14</v>
      </c>
      <c r="D463" s="1">
        <v>45724</v>
      </c>
      <c r="E463">
        <v>1250</v>
      </c>
      <c r="F463">
        <v>1014</v>
      </c>
      <c r="G463">
        <v>140</v>
      </c>
      <c r="H463">
        <v>5660</v>
      </c>
    </row>
    <row r="464" spans="1:8" x14ac:dyDescent="0.35">
      <c r="A464" t="s">
        <v>660</v>
      </c>
      <c r="B464" t="s">
        <v>32</v>
      </c>
      <c r="C464" t="s">
        <v>472</v>
      </c>
      <c r="D464" s="1">
        <v>45685</v>
      </c>
      <c r="E464">
        <v>4503</v>
      </c>
      <c r="F464">
        <v>2677</v>
      </c>
      <c r="G464">
        <v>351</v>
      </c>
      <c r="H464">
        <v>35900</v>
      </c>
    </row>
    <row r="465" spans="1:8" x14ac:dyDescent="0.35">
      <c r="A465" t="s">
        <v>661</v>
      </c>
      <c r="B465" t="s">
        <v>18</v>
      </c>
      <c r="C465" t="s">
        <v>491</v>
      </c>
      <c r="D465" s="1">
        <v>45722</v>
      </c>
      <c r="E465">
        <v>2458</v>
      </c>
      <c r="F465">
        <v>482</v>
      </c>
      <c r="G465">
        <v>46</v>
      </c>
      <c r="H465">
        <v>7350</v>
      </c>
    </row>
    <row r="466" spans="1:8" x14ac:dyDescent="0.35">
      <c r="A466" t="s">
        <v>662</v>
      </c>
      <c r="B466" t="s">
        <v>24</v>
      </c>
      <c r="C466" t="s">
        <v>292</v>
      </c>
      <c r="D466" s="1">
        <v>45757</v>
      </c>
      <c r="E466">
        <v>3381</v>
      </c>
      <c r="F466">
        <v>2297</v>
      </c>
      <c r="G466">
        <v>378</v>
      </c>
      <c r="H466">
        <v>17034</v>
      </c>
    </row>
    <row r="467" spans="1:8" x14ac:dyDescent="0.35">
      <c r="A467" t="s">
        <v>663</v>
      </c>
      <c r="B467" t="s">
        <v>18</v>
      </c>
      <c r="C467" t="s">
        <v>168</v>
      </c>
      <c r="D467" s="1">
        <v>45721</v>
      </c>
      <c r="E467">
        <v>803</v>
      </c>
      <c r="F467">
        <v>709</v>
      </c>
      <c r="G467">
        <v>112</v>
      </c>
      <c r="H467">
        <v>3780</v>
      </c>
    </row>
    <row r="468" spans="1:8" x14ac:dyDescent="0.35">
      <c r="A468" t="s">
        <v>664</v>
      </c>
      <c r="B468" t="s">
        <v>24</v>
      </c>
      <c r="C468" t="s">
        <v>83</v>
      </c>
      <c r="D468" s="1">
        <v>45757</v>
      </c>
      <c r="E468">
        <v>1187</v>
      </c>
      <c r="F468">
        <v>11</v>
      </c>
      <c r="G468">
        <v>1</v>
      </c>
      <c r="H468">
        <v>3594</v>
      </c>
    </row>
    <row r="469" spans="1:8" x14ac:dyDescent="0.35">
      <c r="A469" t="s">
        <v>665</v>
      </c>
      <c r="B469" t="s">
        <v>21</v>
      </c>
      <c r="C469" t="s">
        <v>575</v>
      </c>
      <c r="D469" s="1">
        <v>45821</v>
      </c>
      <c r="E469">
        <v>2127</v>
      </c>
      <c r="F469">
        <v>441</v>
      </c>
      <c r="G469">
        <v>52</v>
      </c>
      <c r="H469">
        <v>10272</v>
      </c>
    </row>
    <row r="470" spans="1:8" x14ac:dyDescent="0.35">
      <c r="A470" t="s">
        <v>666</v>
      </c>
      <c r="B470" t="s">
        <v>21</v>
      </c>
      <c r="C470" t="s">
        <v>149</v>
      </c>
      <c r="D470" s="1">
        <v>45828</v>
      </c>
      <c r="E470">
        <v>3445</v>
      </c>
      <c r="F470">
        <v>2321</v>
      </c>
      <c r="G470">
        <v>62</v>
      </c>
      <c r="H470">
        <v>23064</v>
      </c>
    </row>
    <row r="471" spans="1:8" x14ac:dyDescent="0.35">
      <c r="A471" t="s">
        <v>667</v>
      </c>
      <c r="B471" t="s">
        <v>21</v>
      </c>
      <c r="C471" t="s">
        <v>219</v>
      </c>
      <c r="D471" s="1">
        <v>45819</v>
      </c>
      <c r="E471">
        <v>2076</v>
      </c>
      <c r="F471">
        <v>290</v>
      </c>
      <c r="G471">
        <v>36</v>
      </c>
      <c r="H471">
        <v>9464</v>
      </c>
    </row>
    <row r="472" spans="1:8" x14ac:dyDescent="0.35">
      <c r="A472" t="s">
        <v>668</v>
      </c>
      <c r="B472" t="s">
        <v>24</v>
      </c>
      <c r="C472" t="s">
        <v>110</v>
      </c>
      <c r="D472" s="1">
        <v>45765</v>
      </c>
      <c r="E472">
        <v>4549</v>
      </c>
      <c r="F472">
        <v>4211</v>
      </c>
      <c r="G472">
        <v>179</v>
      </c>
      <c r="H472">
        <v>26280</v>
      </c>
    </row>
    <row r="473" spans="1:8" x14ac:dyDescent="0.35">
      <c r="A473" t="s">
        <v>669</v>
      </c>
      <c r="B473" t="s">
        <v>32</v>
      </c>
      <c r="C473" t="s">
        <v>192</v>
      </c>
      <c r="D473" s="1">
        <v>45679</v>
      </c>
      <c r="E473">
        <v>4621</v>
      </c>
      <c r="F473">
        <v>2607</v>
      </c>
      <c r="G473">
        <v>518</v>
      </c>
      <c r="H473">
        <v>36140</v>
      </c>
    </row>
    <row r="474" spans="1:8" x14ac:dyDescent="0.35">
      <c r="A474" t="s">
        <v>670</v>
      </c>
      <c r="B474" t="s">
        <v>21</v>
      </c>
      <c r="C474" t="s">
        <v>187</v>
      </c>
      <c r="D474" s="1">
        <v>45836</v>
      </c>
      <c r="E474">
        <v>4921</v>
      </c>
      <c r="F474">
        <v>1475</v>
      </c>
      <c r="G474">
        <v>14</v>
      </c>
      <c r="H474">
        <v>25584</v>
      </c>
    </row>
    <row r="475" spans="1:8" x14ac:dyDescent="0.35">
      <c r="A475" t="s">
        <v>671</v>
      </c>
      <c r="B475" t="s">
        <v>9</v>
      </c>
      <c r="C475" t="s">
        <v>285</v>
      </c>
      <c r="D475" s="1">
        <v>45638</v>
      </c>
      <c r="E475">
        <v>4208</v>
      </c>
      <c r="F475">
        <v>1073</v>
      </c>
      <c r="G475">
        <v>103</v>
      </c>
      <c r="H475">
        <v>7921.5</v>
      </c>
    </row>
    <row r="476" spans="1:8" x14ac:dyDescent="0.35">
      <c r="A476" t="s">
        <v>672</v>
      </c>
      <c r="B476" t="s">
        <v>18</v>
      </c>
      <c r="C476" t="s">
        <v>335</v>
      </c>
      <c r="D476" s="1">
        <v>45726</v>
      </c>
      <c r="E476">
        <v>3072</v>
      </c>
      <c r="F476">
        <v>678</v>
      </c>
      <c r="G476">
        <v>79</v>
      </c>
      <c r="H476">
        <v>9375</v>
      </c>
    </row>
    <row r="477" spans="1:8" x14ac:dyDescent="0.35">
      <c r="A477" t="s">
        <v>673</v>
      </c>
      <c r="B477" t="s">
        <v>21</v>
      </c>
      <c r="C477" t="s">
        <v>566</v>
      </c>
      <c r="D477" s="1">
        <v>45837</v>
      </c>
      <c r="E477">
        <v>2982</v>
      </c>
      <c r="F477">
        <v>1518</v>
      </c>
      <c r="G477">
        <v>55</v>
      </c>
      <c r="H477">
        <v>18000</v>
      </c>
    </row>
    <row r="478" spans="1:8" x14ac:dyDescent="0.35">
      <c r="A478" t="s">
        <v>674</v>
      </c>
      <c r="B478" t="s">
        <v>9</v>
      </c>
      <c r="C478" t="s">
        <v>620</v>
      </c>
      <c r="D478" s="1">
        <v>45627</v>
      </c>
      <c r="E478">
        <v>3802</v>
      </c>
      <c r="F478">
        <v>1207</v>
      </c>
      <c r="G478">
        <v>82</v>
      </c>
      <c r="H478">
        <v>7513.5</v>
      </c>
    </row>
    <row r="479" spans="1:8" x14ac:dyDescent="0.35">
      <c r="A479" t="s">
        <v>675</v>
      </c>
      <c r="B479" t="s">
        <v>18</v>
      </c>
      <c r="C479" t="s">
        <v>22</v>
      </c>
      <c r="D479" s="1">
        <v>45717</v>
      </c>
      <c r="E479">
        <v>2227</v>
      </c>
      <c r="F479">
        <v>16</v>
      </c>
      <c r="G479">
        <v>1</v>
      </c>
      <c r="H479">
        <v>5607.5</v>
      </c>
    </row>
    <row r="480" spans="1:8" x14ac:dyDescent="0.35">
      <c r="A480" t="s">
        <v>676</v>
      </c>
      <c r="B480" t="s">
        <v>21</v>
      </c>
      <c r="C480" t="s">
        <v>505</v>
      </c>
      <c r="D480" s="1">
        <v>45821</v>
      </c>
      <c r="E480">
        <v>4783</v>
      </c>
      <c r="F480">
        <v>903</v>
      </c>
      <c r="G480">
        <v>175</v>
      </c>
      <c r="H480">
        <v>22744</v>
      </c>
    </row>
    <row r="481" spans="1:8" x14ac:dyDescent="0.35">
      <c r="A481" t="s">
        <v>677</v>
      </c>
      <c r="B481" t="s">
        <v>21</v>
      </c>
      <c r="C481" t="s">
        <v>98</v>
      </c>
      <c r="D481" s="1">
        <v>45835</v>
      </c>
      <c r="E481">
        <v>3306</v>
      </c>
      <c r="F481">
        <v>2591</v>
      </c>
      <c r="G481">
        <v>443</v>
      </c>
      <c r="H481">
        <v>23588</v>
      </c>
    </row>
    <row r="482" spans="1:8" x14ac:dyDescent="0.35">
      <c r="A482" t="s">
        <v>678</v>
      </c>
      <c r="B482" t="s">
        <v>24</v>
      </c>
      <c r="C482" t="s">
        <v>208</v>
      </c>
      <c r="D482" s="1">
        <v>45771</v>
      </c>
      <c r="E482">
        <v>1101</v>
      </c>
      <c r="F482">
        <v>755</v>
      </c>
      <c r="G482">
        <v>57</v>
      </c>
      <c r="H482">
        <v>5568</v>
      </c>
    </row>
    <row r="483" spans="1:8" x14ac:dyDescent="0.35">
      <c r="A483" t="s">
        <v>679</v>
      </c>
      <c r="B483" t="s">
        <v>32</v>
      </c>
      <c r="C483" t="s">
        <v>387</v>
      </c>
      <c r="D483" s="1">
        <v>45684</v>
      </c>
      <c r="E483">
        <v>3364</v>
      </c>
      <c r="F483">
        <v>1946</v>
      </c>
      <c r="G483">
        <v>354</v>
      </c>
      <c r="H483">
        <v>26550</v>
      </c>
    </row>
    <row r="484" spans="1:8" x14ac:dyDescent="0.35">
      <c r="A484" t="s">
        <v>680</v>
      </c>
      <c r="B484" t="s">
        <v>9</v>
      </c>
      <c r="C484" t="s">
        <v>433</v>
      </c>
      <c r="D484" s="1">
        <v>45631</v>
      </c>
      <c r="E484">
        <v>3972</v>
      </c>
      <c r="F484">
        <v>1833</v>
      </c>
      <c r="G484">
        <v>165</v>
      </c>
      <c r="H484">
        <v>8707.5</v>
      </c>
    </row>
    <row r="485" spans="1:8" x14ac:dyDescent="0.35">
      <c r="A485" t="s">
        <v>681</v>
      </c>
      <c r="B485" t="s">
        <v>18</v>
      </c>
      <c r="C485" t="s">
        <v>519</v>
      </c>
      <c r="D485" s="1">
        <v>45729</v>
      </c>
      <c r="E485">
        <v>3392</v>
      </c>
      <c r="F485">
        <v>2847</v>
      </c>
      <c r="G485">
        <v>272</v>
      </c>
      <c r="H485">
        <v>15597.5</v>
      </c>
    </row>
    <row r="486" spans="1:8" x14ac:dyDescent="0.35">
      <c r="A486" t="s">
        <v>682</v>
      </c>
      <c r="B486" t="s">
        <v>24</v>
      </c>
      <c r="C486" t="s">
        <v>424</v>
      </c>
      <c r="D486" s="1">
        <v>45770</v>
      </c>
      <c r="E486">
        <v>442</v>
      </c>
      <c r="F486">
        <v>46</v>
      </c>
      <c r="G486">
        <v>1</v>
      </c>
      <c r="H486">
        <v>1464</v>
      </c>
    </row>
    <row r="487" spans="1:8" x14ac:dyDescent="0.35">
      <c r="A487" t="s">
        <v>683</v>
      </c>
      <c r="B487" t="s">
        <v>32</v>
      </c>
      <c r="C487" t="s">
        <v>519</v>
      </c>
      <c r="D487" s="1">
        <v>45674</v>
      </c>
      <c r="E487">
        <v>3653</v>
      </c>
      <c r="F487">
        <v>3377</v>
      </c>
      <c r="G487">
        <v>513</v>
      </c>
      <c r="H487">
        <v>35150</v>
      </c>
    </row>
    <row r="488" spans="1:8" x14ac:dyDescent="0.35">
      <c r="A488" t="s">
        <v>684</v>
      </c>
      <c r="B488" t="s">
        <v>24</v>
      </c>
      <c r="C488" t="s">
        <v>312</v>
      </c>
      <c r="D488" s="1">
        <v>45763</v>
      </c>
      <c r="E488">
        <v>4036</v>
      </c>
      <c r="F488">
        <v>3729</v>
      </c>
      <c r="G488">
        <v>508</v>
      </c>
      <c r="H488">
        <v>23295</v>
      </c>
    </row>
    <row r="489" spans="1:8" x14ac:dyDescent="0.35">
      <c r="A489" t="s">
        <v>685</v>
      </c>
      <c r="B489" t="s">
        <v>21</v>
      </c>
      <c r="C489" t="s">
        <v>317</v>
      </c>
      <c r="D489" s="1">
        <v>45820</v>
      </c>
      <c r="E489">
        <v>1829</v>
      </c>
      <c r="F489">
        <v>811</v>
      </c>
      <c r="G489">
        <v>29</v>
      </c>
      <c r="H489">
        <v>10560</v>
      </c>
    </row>
    <row r="490" spans="1:8" x14ac:dyDescent="0.35">
      <c r="A490" t="s">
        <v>686</v>
      </c>
      <c r="B490" t="s">
        <v>9</v>
      </c>
      <c r="C490" t="s">
        <v>299</v>
      </c>
      <c r="D490" s="1">
        <v>45645</v>
      </c>
      <c r="E490">
        <v>4422</v>
      </c>
      <c r="F490">
        <v>1030</v>
      </c>
      <c r="G490">
        <v>80</v>
      </c>
      <c r="H490">
        <v>8178</v>
      </c>
    </row>
    <row r="491" spans="1:8" x14ac:dyDescent="0.35">
      <c r="A491" t="s">
        <v>687</v>
      </c>
      <c r="B491" t="s">
        <v>24</v>
      </c>
      <c r="C491" t="s">
        <v>489</v>
      </c>
      <c r="D491" s="1">
        <v>45766</v>
      </c>
      <c r="E491">
        <v>662</v>
      </c>
      <c r="F491">
        <v>532</v>
      </c>
      <c r="G491">
        <v>59</v>
      </c>
      <c r="H491">
        <v>3582</v>
      </c>
    </row>
    <row r="492" spans="1:8" x14ac:dyDescent="0.35">
      <c r="A492" t="s">
        <v>688</v>
      </c>
      <c r="B492" t="s">
        <v>9</v>
      </c>
      <c r="C492" t="s">
        <v>380</v>
      </c>
      <c r="D492" s="1">
        <v>45630</v>
      </c>
      <c r="E492">
        <v>4146</v>
      </c>
      <c r="F492">
        <v>1889</v>
      </c>
      <c r="G492">
        <v>132</v>
      </c>
      <c r="H492">
        <v>9052.5</v>
      </c>
    </row>
    <row r="493" spans="1:8" x14ac:dyDescent="0.35">
      <c r="A493" t="s">
        <v>689</v>
      </c>
      <c r="B493" t="s">
        <v>18</v>
      </c>
      <c r="C493" t="s">
        <v>496</v>
      </c>
      <c r="D493" s="1">
        <v>45722</v>
      </c>
      <c r="E493">
        <v>3663</v>
      </c>
      <c r="F493">
        <v>1723</v>
      </c>
      <c r="G493">
        <v>100</v>
      </c>
      <c r="H493">
        <v>13465</v>
      </c>
    </row>
    <row r="494" spans="1:8" x14ac:dyDescent="0.35">
      <c r="A494" t="s">
        <v>690</v>
      </c>
      <c r="B494" t="s">
        <v>21</v>
      </c>
      <c r="C494" t="s">
        <v>153</v>
      </c>
      <c r="D494" s="1">
        <v>45832</v>
      </c>
      <c r="E494">
        <v>2368</v>
      </c>
      <c r="F494">
        <v>2222</v>
      </c>
      <c r="G494">
        <v>105</v>
      </c>
      <c r="H494">
        <v>18360</v>
      </c>
    </row>
    <row r="495" spans="1:8" x14ac:dyDescent="0.35">
      <c r="A495" t="s">
        <v>691</v>
      </c>
      <c r="B495" t="s">
        <v>9</v>
      </c>
      <c r="C495" t="s">
        <v>382</v>
      </c>
      <c r="D495" s="1">
        <v>45638</v>
      </c>
      <c r="E495">
        <v>4334</v>
      </c>
      <c r="F495">
        <v>2941</v>
      </c>
      <c r="G495">
        <v>55</v>
      </c>
      <c r="H495">
        <v>10912.5</v>
      </c>
    </row>
    <row r="496" spans="1:8" x14ac:dyDescent="0.35">
      <c r="A496" t="s">
        <v>692</v>
      </c>
      <c r="B496" t="s">
        <v>21</v>
      </c>
      <c r="C496" t="s">
        <v>367</v>
      </c>
      <c r="D496" s="1">
        <v>45831</v>
      </c>
      <c r="E496">
        <v>2396</v>
      </c>
      <c r="F496">
        <v>1197</v>
      </c>
      <c r="G496">
        <v>237</v>
      </c>
      <c r="H496">
        <v>14372</v>
      </c>
    </row>
    <row r="497" spans="1:8" x14ac:dyDescent="0.35">
      <c r="A497" t="s">
        <v>693</v>
      </c>
      <c r="B497" t="s">
        <v>18</v>
      </c>
      <c r="C497" t="s">
        <v>16</v>
      </c>
      <c r="D497" s="1">
        <v>45727</v>
      </c>
      <c r="E497">
        <v>1537</v>
      </c>
      <c r="F497">
        <v>710</v>
      </c>
      <c r="G497">
        <v>93</v>
      </c>
      <c r="H497">
        <v>5617.5</v>
      </c>
    </row>
    <row r="498" spans="1:8" x14ac:dyDescent="0.35">
      <c r="A498" t="s">
        <v>694</v>
      </c>
      <c r="B498" t="s">
        <v>24</v>
      </c>
      <c r="C498" t="s">
        <v>526</v>
      </c>
      <c r="D498" s="1">
        <v>45757</v>
      </c>
      <c r="E498">
        <v>3439</v>
      </c>
      <c r="F498">
        <v>1410</v>
      </c>
      <c r="G498">
        <v>250</v>
      </c>
      <c r="H498">
        <v>14547</v>
      </c>
    </row>
    <row r="499" spans="1:8" x14ac:dyDescent="0.35">
      <c r="A499" t="s">
        <v>695</v>
      </c>
      <c r="B499" t="s">
        <v>18</v>
      </c>
      <c r="C499" t="s">
        <v>221</v>
      </c>
      <c r="D499" s="1">
        <v>45731</v>
      </c>
      <c r="E499">
        <v>589</v>
      </c>
      <c r="F499">
        <v>88</v>
      </c>
      <c r="G499">
        <v>3</v>
      </c>
      <c r="H499">
        <v>1692.5</v>
      </c>
    </row>
    <row r="500" spans="1:8" x14ac:dyDescent="0.35">
      <c r="A500" t="s">
        <v>696</v>
      </c>
      <c r="B500" t="s">
        <v>32</v>
      </c>
      <c r="C500" t="s">
        <v>454</v>
      </c>
      <c r="D500" s="1">
        <v>45677</v>
      </c>
      <c r="E500">
        <v>3609</v>
      </c>
      <c r="F500">
        <v>551</v>
      </c>
      <c r="G500">
        <v>75</v>
      </c>
      <c r="H500">
        <v>20800</v>
      </c>
    </row>
    <row r="501" spans="1:8" x14ac:dyDescent="0.35">
      <c r="A501" t="s">
        <v>697</v>
      </c>
      <c r="B501" t="s">
        <v>21</v>
      </c>
      <c r="C501" t="s">
        <v>335</v>
      </c>
      <c r="D501" s="1">
        <v>45837</v>
      </c>
      <c r="E501">
        <v>1882</v>
      </c>
      <c r="F501">
        <v>1860</v>
      </c>
      <c r="G501">
        <v>371</v>
      </c>
      <c r="H501">
        <v>14968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C13" sqref="C12:C13"/>
    </sheetView>
  </sheetViews>
  <sheetFormatPr defaultRowHeight="14.5" x14ac:dyDescent="0.35"/>
  <cols>
    <col min="1" max="1" width="12.90625" customWidth="1"/>
    <col min="2" max="2" width="16" customWidth="1"/>
    <col min="3" max="3" width="15.08984375" customWidth="1"/>
    <col min="4" max="4" width="10.90625" customWidth="1"/>
    <col min="5" max="5" width="10.453125" bestFit="1" customWidth="1"/>
    <col min="6" max="6" width="8.7265625" customWidth="1"/>
  </cols>
  <sheetData>
    <row r="1" spans="1:6" x14ac:dyDescent="0.35">
      <c r="A1" t="s">
        <v>1</v>
      </c>
      <c r="B1" t="s">
        <v>698</v>
      </c>
      <c r="C1" t="s">
        <v>699</v>
      </c>
      <c r="D1" t="s">
        <v>700</v>
      </c>
      <c r="E1" t="s">
        <v>701</v>
      </c>
      <c r="F1" t="s">
        <v>702</v>
      </c>
    </row>
    <row r="2" spans="1:6" x14ac:dyDescent="0.35">
      <c r="A2" t="s">
        <v>18</v>
      </c>
      <c r="B2" t="s">
        <v>703</v>
      </c>
      <c r="C2" t="s">
        <v>704</v>
      </c>
      <c r="D2" s="1">
        <v>45717</v>
      </c>
      <c r="E2" s="1">
        <v>45731</v>
      </c>
      <c r="F2">
        <v>25000</v>
      </c>
    </row>
    <row r="3" spans="1:6" x14ac:dyDescent="0.35">
      <c r="A3" t="s">
        <v>21</v>
      </c>
      <c r="B3" t="s">
        <v>705</v>
      </c>
      <c r="C3" t="s">
        <v>706</v>
      </c>
      <c r="D3" s="1">
        <v>45818</v>
      </c>
      <c r="E3" s="1">
        <v>45838</v>
      </c>
      <c r="F3">
        <v>40000</v>
      </c>
    </row>
    <row r="4" spans="1:6" x14ac:dyDescent="0.35">
      <c r="A4" t="s">
        <v>9</v>
      </c>
      <c r="B4" t="s">
        <v>707</v>
      </c>
      <c r="C4" t="s">
        <v>708</v>
      </c>
      <c r="D4" s="1">
        <v>45627</v>
      </c>
      <c r="E4" s="1">
        <v>45646</v>
      </c>
      <c r="F4">
        <v>15000</v>
      </c>
    </row>
    <row r="5" spans="1:6" x14ac:dyDescent="0.35">
      <c r="A5" t="s">
        <v>32</v>
      </c>
      <c r="B5" t="s">
        <v>709</v>
      </c>
      <c r="C5" t="s">
        <v>710</v>
      </c>
      <c r="D5" s="1">
        <v>45672</v>
      </c>
      <c r="E5" s="1">
        <v>45693</v>
      </c>
      <c r="F5">
        <v>50000</v>
      </c>
    </row>
    <row r="6" spans="1:6" x14ac:dyDescent="0.35">
      <c r="A6" t="s">
        <v>24</v>
      </c>
      <c r="B6" t="s">
        <v>711</v>
      </c>
      <c r="C6" t="s">
        <v>704</v>
      </c>
      <c r="D6" s="1">
        <v>45757</v>
      </c>
      <c r="E6" s="1">
        <v>45772</v>
      </c>
      <c r="F6">
        <v>30000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selection activeCell="A4" sqref="A4"/>
    </sheetView>
  </sheetViews>
  <sheetFormatPr defaultRowHeight="14.5" x14ac:dyDescent="0.35"/>
  <cols>
    <col min="1" max="1" width="12.81640625" customWidth="1"/>
    <col min="2" max="2" width="18.36328125" bestFit="1" customWidth="1"/>
    <col min="3" max="3" width="5.90625" customWidth="1"/>
    <col min="4" max="4" width="9" customWidth="1"/>
    <col min="5" max="5" width="10" bestFit="1" customWidth="1"/>
    <col min="6" max="6" width="17.6328125" bestFit="1" customWidth="1"/>
  </cols>
  <sheetData>
    <row r="1" spans="1:6" x14ac:dyDescent="0.35">
      <c r="A1" t="s">
        <v>2</v>
      </c>
      <c r="B1" t="s">
        <v>712</v>
      </c>
      <c r="C1" t="s">
        <v>713</v>
      </c>
      <c r="D1" t="s">
        <v>714</v>
      </c>
      <c r="E1" t="s">
        <v>715</v>
      </c>
      <c r="F1" t="s">
        <v>716</v>
      </c>
    </row>
    <row r="2" spans="1:6" x14ac:dyDescent="0.35">
      <c r="A2" t="s">
        <v>511</v>
      </c>
      <c r="B2" t="s">
        <v>717</v>
      </c>
      <c r="C2">
        <v>37</v>
      </c>
      <c r="D2" t="s">
        <v>718</v>
      </c>
      <c r="E2" t="s">
        <v>719</v>
      </c>
      <c r="F2" t="s">
        <v>720</v>
      </c>
    </row>
    <row r="3" spans="1:6" x14ac:dyDescent="0.35">
      <c r="A3" t="s">
        <v>155</v>
      </c>
      <c r="B3" t="s">
        <v>721</v>
      </c>
      <c r="C3">
        <v>29</v>
      </c>
      <c r="D3" t="s">
        <v>718</v>
      </c>
      <c r="E3" t="s">
        <v>722</v>
      </c>
      <c r="F3" t="s">
        <v>723</v>
      </c>
    </row>
    <row r="4" spans="1:6" x14ac:dyDescent="0.35">
      <c r="A4" t="s">
        <v>331</v>
      </c>
      <c r="B4" t="s">
        <v>724</v>
      </c>
      <c r="C4">
        <v>42</v>
      </c>
      <c r="D4" t="s">
        <v>725</v>
      </c>
      <c r="E4" t="s">
        <v>726</v>
      </c>
      <c r="F4" t="s">
        <v>723</v>
      </c>
    </row>
    <row r="5" spans="1:6" x14ac:dyDescent="0.35">
      <c r="A5" t="s">
        <v>14</v>
      </c>
      <c r="B5" t="s">
        <v>727</v>
      </c>
      <c r="C5">
        <v>33</v>
      </c>
      <c r="D5" t="s">
        <v>725</v>
      </c>
      <c r="E5" t="s">
        <v>728</v>
      </c>
      <c r="F5" t="s">
        <v>723</v>
      </c>
    </row>
    <row r="6" spans="1:6" x14ac:dyDescent="0.35">
      <c r="A6" t="s">
        <v>579</v>
      </c>
      <c r="B6" t="s">
        <v>729</v>
      </c>
      <c r="C6">
        <v>29</v>
      </c>
      <c r="D6" t="s">
        <v>725</v>
      </c>
      <c r="E6" t="s">
        <v>730</v>
      </c>
      <c r="F6" t="s">
        <v>731</v>
      </c>
    </row>
    <row r="7" spans="1:6" x14ac:dyDescent="0.35">
      <c r="A7" t="s">
        <v>732</v>
      </c>
      <c r="B7" t="s">
        <v>733</v>
      </c>
      <c r="C7">
        <v>39</v>
      </c>
      <c r="D7" t="s">
        <v>725</v>
      </c>
      <c r="E7" t="s">
        <v>734</v>
      </c>
      <c r="F7" t="s">
        <v>731</v>
      </c>
    </row>
    <row r="8" spans="1:6" x14ac:dyDescent="0.35">
      <c r="A8" t="s">
        <v>307</v>
      </c>
      <c r="B8" t="s">
        <v>735</v>
      </c>
      <c r="C8">
        <v>32</v>
      </c>
      <c r="D8" t="s">
        <v>725</v>
      </c>
      <c r="E8" t="s">
        <v>728</v>
      </c>
      <c r="F8" t="s">
        <v>731</v>
      </c>
    </row>
    <row r="9" spans="1:6" x14ac:dyDescent="0.35">
      <c r="A9" t="s">
        <v>244</v>
      </c>
      <c r="B9" t="s">
        <v>736</v>
      </c>
      <c r="C9">
        <v>29</v>
      </c>
      <c r="D9" t="s">
        <v>725</v>
      </c>
      <c r="E9" t="s">
        <v>734</v>
      </c>
      <c r="F9" t="s">
        <v>720</v>
      </c>
    </row>
    <row r="10" spans="1:6" x14ac:dyDescent="0.35">
      <c r="A10" t="s">
        <v>491</v>
      </c>
      <c r="B10" t="s">
        <v>737</v>
      </c>
      <c r="C10">
        <v>39</v>
      </c>
      <c r="D10" t="s">
        <v>725</v>
      </c>
      <c r="E10" t="s">
        <v>738</v>
      </c>
      <c r="F10" t="s">
        <v>720</v>
      </c>
    </row>
    <row r="11" spans="1:6" x14ac:dyDescent="0.35">
      <c r="A11" t="s">
        <v>140</v>
      </c>
      <c r="B11" t="s">
        <v>739</v>
      </c>
      <c r="C11">
        <v>32</v>
      </c>
      <c r="D11" t="s">
        <v>725</v>
      </c>
      <c r="E11" t="s">
        <v>722</v>
      </c>
      <c r="F11" t="s">
        <v>731</v>
      </c>
    </row>
    <row r="12" spans="1:6" x14ac:dyDescent="0.35">
      <c r="A12" t="s">
        <v>740</v>
      </c>
      <c r="B12" t="s">
        <v>741</v>
      </c>
      <c r="C12">
        <v>27</v>
      </c>
      <c r="D12" t="s">
        <v>718</v>
      </c>
      <c r="E12" t="s">
        <v>738</v>
      </c>
      <c r="F12" t="s">
        <v>731</v>
      </c>
    </row>
    <row r="13" spans="1:6" x14ac:dyDescent="0.35">
      <c r="A13" t="s">
        <v>221</v>
      </c>
      <c r="B13" t="s">
        <v>742</v>
      </c>
      <c r="C13">
        <v>30</v>
      </c>
      <c r="D13" t="s">
        <v>725</v>
      </c>
      <c r="E13" t="s">
        <v>734</v>
      </c>
      <c r="F13" t="s">
        <v>720</v>
      </c>
    </row>
    <row r="14" spans="1:6" x14ac:dyDescent="0.35">
      <c r="A14" t="s">
        <v>60</v>
      </c>
      <c r="B14" t="s">
        <v>743</v>
      </c>
      <c r="C14">
        <v>39</v>
      </c>
      <c r="D14" t="s">
        <v>725</v>
      </c>
      <c r="E14" t="s">
        <v>738</v>
      </c>
      <c r="F14" t="s">
        <v>720</v>
      </c>
    </row>
    <row r="15" spans="1:6" x14ac:dyDescent="0.35">
      <c r="A15" t="s">
        <v>412</v>
      </c>
      <c r="B15" t="s">
        <v>744</v>
      </c>
      <c r="C15">
        <v>28</v>
      </c>
      <c r="D15" t="s">
        <v>725</v>
      </c>
      <c r="E15" t="s">
        <v>738</v>
      </c>
      <c r="F15" t="s">
        <v>731</v>
      </c>
    </row>
    <row r="16" spans="1:6" x14ac:dyDescent="0.35">
      <c r="A16" t="s">
        <v>745</v>
      </c>
      <c r="B16" t="s">
        <v>746</v>
      </c>
      <c r="C16">
        <v>28</v>
      </c>
      <c r="D16" t="s">
        <v>718</v>
      </c>
      <c r="E16" t="s">
        <v>747</v>
      </c>
      <c r="F16" t="s">
        <v>723</v>
      </c>
    </row>
    <row r="17" spans="1:6" x14ac:dyDescent="0.35">
      <c r="A17" t="s">
        <v>10</v>
      </c>
      <c r="B17" t="s">
        <v>748</v>
      </c>
      <c r="C17">
        <v>29</v>
      </c>
      <c r="D17" t="s">
        <v>718</v>
      </c>
      <c r="E17" t="s">
        <v>734</v>
      </c>
      <c r="F17" t="s">
        <v>731</v>
      </c>
    </row>
    <row r="18" spans="1:6" x14ac:dyDescent="0.35">
      <c r="A18" t="s">
        <v>79</v>
      </c>
      <c r="B18" t="s">
        <v>749</v>
      </c>
      <c r="C18">
        <v>32</v>
      </c>
      <c r="D18" t="s">
        <v>725</v>
      </c>
      <c r="E18" t="s">
        <v>719</v>
      </c>
      <c r="F18" t="s">
        <v>731</v>
      </c>
    </row>
    <row r="19" spans="1:6" x14ac:dyDescent="0.35">
      <c r="A19" t="s">
        <v>581</v>
      </c>
      <c r="B19" t="s">
        <v>750</v>
      </c>
      <c r="C19">
        <v>25</v>
      </c>
      <c r="D19" t="s">
        <v>725</v>
      </c>
      <c r="E19" t="s">
        <v>734</v>
      </c>
      <c r="F19" t="s">
        <v>731</v>
      </c>
    </row>
    <row r="20" spans="1:6" x14ac:dyDescent="0.35">
      <c r="A20" t="s">
        <v>215</v>
      </c>
      <c r="B20" t="s">
        <v>751</v>
      </c>
      <c r="C20">
        <v>37</v>
      </c>
      <c r="D20" t="s">
        <v>725</v>
      </c>
      <c r="E20" t="s">
        <v>752</v>
      </c>
      <c r="F20" t="s">
        <v>731</v>
      </c>
    </row>
    <row r="21" spans="1:6" x14ac:dyDescent="0.35">
      <c r="A21" t="s">
        <v>96</v>
      </c>
      <c r="B21" t="s">
        <v>753</v>
      </c>
      <c r="C21">
        <v>21</v>
      </c>
      <c r="D21" t="s">
        <v>718</v>
      </c>
      <c r="E21" t="s">
        <v>726</v>
      </c>
      <c r="F21" t="s">
        <v>720</v>
      </c>
    </row>
    <row r="22" spans="1:6" x14ac:dyDescent="0.35">
      <c r="A22" t="s">
        <v>519</v>
      </c>
      <c r="B22" t="s">
        <v>754</v>
      </c>
      <c r="C22">
        <v>18</v>
      </c>
      <c r="D22" t="s">
        <v>725</v>
      </c>
      <c r="E22" t="s">
        <v>728</v>
      </c>
      <c r="F22" t="s">
        <v>723</v>
      </c>
    </row>
    <row r="23" spans="1:6" x14ac:dyDescent="0.35">
      <c r="A23" t="s">
        <v>755</v>
      </c>
      <c r="B23" t="s">
        <v>756</v>
      </c>
      <c r="C23">
        <v>38</v>
      </c>
      <c r="D23" t="s">
        <v>718</v>
      </c>
      <c r="E23" t="s">
        <v>757</v>
      </c>
      <c r="F23" t="s">
        <v>720</v>
      </c>
    </row>
    <row r="24" spans="1:6" x14ac:dyDescent="0.35">
      <c r="A24" t="s">
        <v>83</v>
      </c>
      <c r="B24" t="s">
        <v>758</v>
      </c>
      <c r="C24">
        <v>41</v>
      </c>
      <c r="D24" t="s">
        <v>718</v>
      </c>
      <c r="E24" t="s">
        <v>759</v>
      </c>
      <c r="F24" t="s">
        <v>720</v>
      </c>
    </row>
    <row r="25" spans="1:6" x14ac:dyDescent="0.35">
      <c r="A25" t="s">
        <v>620</v>
      </c>
      <c r="B25" t="s">
        <v>760</v>
      </c>
      <c r="C25">
        <v>48</v>
      </c>
      <c r="D25" t="s">
        <v>718</v>
      </c>
      <c r="E25" t="s">
        <v>726</v>
      </c>
      <c r="F25" t="s">
        <v>720</v>
      </c>
    </row>
    <row r="26" spans="1:6" x14ac:dyDescent="0.35">
      <c r="A26" t="s">
        <v>110</v>
      </c>
      <c r="B26" t="s">
        <v>761</v>
      </c>
      <c r="C26">
        <v>43</v>
      </c>
      <c r="D26" t="s">
        <v>725</v>
      </c>
      <c r="E26" t="s">
        <v>722</v>
      </c>
      <c r="F26" t="s">
        <v>723</v>
      </c>
    </row>
    <row r="27" spans="1:6" x14ac:dyDescent="0.35">
      <c r="A27" t="s">
        <v>230</v>
      </c>
      <c r="B27" t="s">
        <v>762</v>
      </c>
      <c r="C27">
        <v>29</v>
      </c>
      <c r="D27" t="s">
        <v>718</v>
      </c>
      <c r="E27" t="s">
        <v>726</v>
      </c>
      <c r="F27" t="s">
        <v>720</v>
      </c>
    </row>
    <row r="28" spans="1:6" x14ac:dyDescent="0.35">
      <c r="A28" t="s">
        <v>290</v>
      </c>
      <c r="B28" t="s">
        <v>763</v>
      </c>
      <c r="C28">
        <v>30</v>
      </c>
      <c r="D28" t="s">
        <v>725</v>
      </c>
      <c r="E28" t="s">
        <v>752</v>
      </c>
      <c r="F28" t="s">
        <v>731</v>
      </c>
    </row>
    <row r="29" spans="1:6" x14ac:dyDescent="0.35">
      <c r="A29" t="s">
        <v>168</v>
      </c>
      <c r="B29" t="s">
        <v>764</v>
      </c>
      <c r="C29">
        <v>39</v>
      </c>
      <c r="D29" t="s">
        <v>718</v>
      </c>
      <c r="E29" t="s">
        <v>765</v>
      </c>
      <c r="F29" t="s">
        <v>731</v>
      </c>
    </row>
    <row r="30" spans="1:6" x14ac:dyDescent="0.35">
      <c r="A30" t="s">
        <v>265</v>
      </c>
      <c r="B30" t="s">
        <v>766</v>
      </c>
      <c r="C30">
        <v>21</v>
      </c>
      <c r="D30" t="s">
        <v>725</v>
      </c>
      <c r="E30" t="s">
        <v>730</v>
      </c>
      <c r="F30" t="s">
        <v>720</v>
      </c>
    </row>
    <row r="31" spans="1:6" x14ac:dyDescent="0.35">
      <c r="A31" t="s">
        <v>88</v>
      </c>
      <c r="B31" t="s">
        <v>767</v>
      </c>
      <c r="C31">
        <v>42</v>
      </c>
      <c r="D31" t="s">
        <v>725</v>
      </c>
      <c r="E31" t="s">
        <v>728</v>
      </c>
      <c r="F31" t="s">
        <v>720</v>
      </c>
    </row>
    <row r="32" spans="1:6" x14ac:dyDescent="0.35">
      <c r="A32" t="s">
        <v>56</v>
      </c>
      <c r="B32" t="s">
        <v>768</v>
      </c>
      <c r="C32">
        <v>27</v>
      </c>
      <c r="D32" t="s">
        <v>725</v>
      </c>
      <c r="E32" t="s">
        <v>765</v>
      </c>
      <c r="F32" t="s">
        <v>731</v>
      </c>
    </row>
    <row r="33" spans="1:6" x14ac:dyDescent="0.35">
      <c r="A33" t="s">
        <v>43</v>
      </c>
      <c r="B33" t="s">
        <v>769</v>
      </c>
      <c r="C33">
        <v>33</v>
      </c>
      <c r="D33" t="s">
        <v>725</v>
      </c>
      <c r="E33" t="s">
        <v>770</v>
      </c>
      <c r="F33" t="s">
        <v>720</v>
      </c>
    </row>
    <row r="34" spans="1:6" x14ac:dyDescent="0.35">
      <c r="A34" t="s">
        <v>170</v>
      </c>
      <c r="B34" t="s">
        <v>771</v>
      </c>
      <c r="C34">
        <v>22</v>
      </c>
      <c r="D34" t="s">
        <v>718</v>
      </c>
      <c r="E34" t="s">
        <v>770</v>
      </c>
      <c r="F34" t="s">
        <v>720</v>
      </c>
    </row>
    <row r="35" spans="1:6" x14ac:dyDescent="0.35">
      <c r="A35" t="s">
        <v>438</v>
      </c>
      <c r="B35" t="s">
        <v>772</v>
      </c>
      <c r="C35">
        <v>34</v>
      </c>
      <c r="D35" t="s">
        <v>718</v>
      </c>
      <c r="E35" t="s">
        <v>773</v>
      </c>
      <c r="F35" t="s">
        <v>720</v>
      </c>
    </row>
    <row r="36" spans="1:6" x14ac:dyDescent="0.35">
      <c r="A36" t="s">
        <v>584</v>
      </c>
      <c r="B36" t="s">
        <v>774</v>
      </c>
      <c r="C36">
        <v>20</v>
      </c>
      <c r="D36" t="s">
        <v>718</v>
      </c>
      <c r="E36" t="s">
        <v>734</v>
      </c>
      <c r="F36" t="s">
        <v>723</v>
      </c>
    </row>
    <row r="37" spans="1:6" x14ac:dyDescent="0.35">
      <c r="A37" t="s">
        <v>184</v>
      </c>
      <c r="B37" t="s">
        <v>775</v>
      </c>
      <c r="C37">
        <v>45</v>
      </c>
      <c r="D37" t="s">
        <v>725</v>
      </c>
      <c r="E37" t="s">
        <v>770</v>
      </c>
      <c r="F37" t="s">
        <v>731</v>
      </c>
    </row>
    <row r="38" spans="1:6" x14ac:dyDescent="0.35">
      <c r="A38" t="s">
        <v>118</v>
      </c>
      <c r="B38" t="s">
        <v>776</v>
      </c>
      <c r="C38">
        <v>35</v>
      </c>
      <c r="D38" t="s">
        <v>718</v>
      </c>
      <c r="E38" t="s">
        <v>738</v>
      </c>
      <c r="F38" t="s">
        <v>731</v>
      </c>
    </row>
    <row r="39" spans="1:6" x14ac:dyDescent="0.35">
      <c r="A39" t="s">
        <v>433</v>
      </c>
      <c r="B39" t="s">
        <v>777</v>
      </c>
      <c r="C39">
        <v>24</v>
      </c>
      <c r="D39" t="s">
        <v>718</v>
      </c>
      <c r="E39" t="s">
        <v>734</v>
      </c>
      <c r="F39" t="s">
        <v>731</v>
      </c>
    </row>
    <row r="40" spans="1:6" x14ac:dyDescent="0.35">
      <c r="A40" t="s">
        <v>37</v>
      </c>
      <c r="B40" t="s">
        <v>778</v>
      </c>
      <c r="C40">
        <v>37</v>
      </c>
      <c r="D40" t="s">
        <v>725</v>
      </c>
      <c r="E40" t="s">
        <v>752</v>
      </c>
      <c r="F40" t="s">
        <v>720</v>
      </c>
    </row>
    <row r="41" spans="1:6" x14ac:dyDescent="0.35">
      <c r="A41" t="s">
        <v>563</v>
      </c>
      <c r="B41" t="s">
        <v>779</v>
      </c>
      <c r="C41">
        <v>38</v>
      </c>
      <c r="D41" t="s">
        <v>718</v>
      </c>
      <c r="E41" t="s">
        <v>726</v>
      </c>
      <c r="F41" t="s">
        <v>723</v>
      </c>
    </row>
    <row r="42" spans="1:6" x14ac:dyDescent="0.35">
      <c r="A42" t="s">
        <v>206</v>
      </c>
      <c r="B42" t="s">
        <v>780</v>
      </c>
      <c r="C42">
        <v>56</v>
      </c>
      <c r="D42" t="s">
        <v>725</v>
      </c>
      <c r="E42" t="s">
        <v>722</v>
      </c>
      <c r="F42" t="s">
        <v>720</v>
      </c>
    </row>
    <row r="43" spans="1:6" x14ac:dyDescent="0.35">
      <c r="A43" t="s">
        <v>268</v>
      </c>
      <c r="B43" t="s">
        <v>781</v>
      </c>
      <c r="C43">
        <v>44</v>
      </c>
      <c r="D43" t="s">
        <v>718</v>
      </c>
      <c r="E43" t="s">
        <v>730</v>
      </c>
      <c r="F43" t="s">
        <v>731</v>
      </c>
    </row>
    <row r="44" spans="1:6" x14ac:dyDescent="0.35">
      <c r="A44" t="s">
        <v>102</v>
      </c>
      <c r="B44" t="s">
        <v>782</v>
      </c>
      <c r="C44">
        <v>36</v>
      </c>
      <c r="D44" t="s">
        <v>725</v>
      </c>
      <c r="E44" t="s">
        <v>730</v>
      </c>
      <c r="F44" t="s">
        <v>731</v>
      </c>
    </row>
    <row r="45" spans="1:6" x14ac:dyDescent="0.35">
      <c r="A45" t="s">
        <v>122</v>
      </c>
      <c r="B45" t="s">
        <v>783</v>
      </c>
      <c r="C45">
        <v>39</v>
      </c>
      <c r="D45" t="s">
        <v>718</v>
      </c>
      <c r="E45" t="s">
        <v>726</v>
      </c>
      <c r="F45" t="s">
        <v>720</v>
      </c>
    </row>
    <row r="46" spans="1:6" x14ac:dyDescent="0.35">
      <c r="A46" t="s">
        <v>120</v>
      </c>
      <c r="B46" t="s">
        <v>784</v>
      </c>
      <c r="C46">
        <v>26</v>
      </c>
      <c r="D46" t="s">
        <v>718</v>
      </c>
      <c r="E46" t="s">
        <v>785</v>
      </c>
      <c r="F46" t="s">
        <v>720</v>
      </c>
    </row>
    <row r="47" spans="1:6" x14ac:dyDescent="0.35">
      <c r="A47" t="s">
        <v>410</v>
      </c>
      <c r="B47" t="s">
        <v>786</v>
      </c>
      <c r="C47">
        <v>45</v>
      </c>
      <c r="D47" t="s">
        <v>718</v>
      </c>
      <c r="E47" t="s">
        <v>773</v>
      </c>
      <c r="F47" t="s">
        <v>720</v>
      </c>
    </row>
    <row r="48" spans="1:6" x14ac:dyDescent="0.35">
      <c r="A48" t="s">
        <v>153</v>
      </c>
      <c r="B48" t="s">
        <v>787</v>
      </c>
      <c r="C48">
        <v>43</v>
      </c>
      <c r="D48" t="s">
        <v>725</v>
      </c>
      <c r="E48" t="s">
        <v>722</v>
      </c>
      <c r="F48" t="s">
        <v>731</v>
      </c>
    </row>
    <row r="49" spans="1:6" x14ac:dyDescent="0.35">
      <c r="A49" t="s">
        <v>480</v>
      </c>
      <c r="B49" t="s">
        <v>788</v>
      </c>
      <c r="C49">
        <v>32</v>
      </c>
      <c r="D49" t="s">
        <v>718</v>
      </c>
      <c r="E49" t="s">
        <v>752</v>
      </c>
      <c r="F49" t="s">
        <v>731</v>
      </c>
    </row>
    <row r="50" spans="1:6" x14ac:dyDescent="0.35">
      <c r="A50" t="s">
        <v>22</v>
      </c>
      <c r="B50" t="s">
        <v>789</v>
      </c>
      <c r="C50">
        <v>36</v>
      </c>
      <c r="D50" t="s">
        <v>718</v>
      </c>
      <c r="E50" t="s">
        <v>722</v>
      </c>
      <c r="F50" t="s">
        <v>731</v>
      </c>
    </row>
    <row r="51" spans="1:6" x14ac:dyDescent="0.35">
      <c r="A51" t="s">
        <v>530</v>
      </c>
      <c r="B51" t="s">
        <v>790</v>
      </c>
      <c r="C51">
        <v>22</v>
      </c>
      <c r="D51" t="s">
        <v>725</v>
      </c>
      <c r="E51" t="s">
        <v>759</v>
      </c>
      <c r="F51" t="s">
        <v>720</v>
      </c>
    </row>
    <row r="52" spans="1:6" x14ac:dyDescent="0.35">
      <c r="A52" t="s">
        <v>253</v>
      </c>
      <c r="B52" t="s">
        <v>791</v>
      </c>
      <c r="C52">
        <v>35</v>
      </c>
      <c r="D52" t="s">
        <v>725</v>
      </c>
      <c r="E52" t="s">
        <v>734</v>
      </c>
      <c r="F52" t="s">
        <v>731</v>
      </c>
    </row>
    <row r="53" spans="1:6" x14ac:dyDescent="0.35">
      <c r="A53" t="s">
        <v>30</v>
      </c>
      <c r="B53" t="s">
        <v>792</v>
      </c>
      <c r="C53">
        <v>51</v>
      </c>
      <c r="D53" t="s">
        <v>725</v>
      </c>
      <c r="E53" t="s">
        <v>773</v>
      </c>
      <c r="F53" t="s">
        <v>731</v>
      </c>
    </row>
    <row r="54" spans="1:6" x14ac:dyDescent="0.35">
      <c r="A54" t="s">
        <v>346</v>
      </c>
      <c r="B54" t="s">
        <v>793</v>
      </c>
      <c r="C54">
        <v>37</v>
      </c>
      <c r="D54" t="s">
        <v>718</v>
      </c>
      <c r="E54" t="s">
        <v>765</v>
      </c>
      <c r="F54" t="s">
        <v>720</v>
      </c>
    </row>
    <row r="55" spans="1:6" x14ac:dyDescent="0.35">
      <c r="A55" t="s">
        <v>489</v>
      </c>
      <c r="B55" t="s">
        <v>794</v>
      </c>
      <c r="C55">
        <v>28</v>
      </c>
      <c r="D55" t="s">
        <v>718</v>
      </c>
      <c r="E55" t="s">
        <v>730</v>
      </c>
      <c r="F55" t="s">
        <v>731</v>
      </c>
    </row>
    <row r="56" spans="1:6" x14ac:dyDescent="0.35">
      <c r="A56" t="s">
        <v>208</v>
      </c>
      <c r="B56" t="s">
        <v>795</v>
      </c>
      <c r="C56">
        <v>32</v>
      </c>
      <c r="D56" t="s">
        <v>725</v>
      </c>
      <c r="E56" t="s">
        <v>722</v>
      </c>
      <c r="F56" t="s">
        <v>731</v>
      </c>
    </row>
    <row r="57" spans="1:6" x14ac:dyDescent="0.35">
      <c r="A57" t="s">
        <v>539</v>
      </c>
      <c r="B57" t="s">
        <v>796</v>
      </c>
      <c r="C57">
        <v>35</v>
      </c>
      <c r="D57" t="s">
        <v>725</v>
      </c>
      <c r="E57" t="s">
        <v>785</v>
      </c>
      <c r="F57" t="s">
        <v>723</v>
      </c>
    </row>
    <row r="58" spans="1:6" x14ac:dyDescent="0.35">
      <c r="A58" t="s">
        <v>124</v>
      </c>
      <c r="B58" t="s">
        <v>797</v>
      </c>
      <c r="C58">
        <v>48</v>
      </c>
      <c r="D58" t="s">
        <v>725</v>
      </c>
      <c r="E58" t="s">
        <v>757</v>
      </c>
      <c r="F58" t="s">
        <v>723</v>
      </c>
    </row>
    <row r="59" spans="1:6" x14ac:dyDescent="0.35">
      <c r="A59" t="s">
        <v>35</v>
      </c>
      <c r="B59" t="s">
        <v>798</v>
      </c>
      <c r="C59">
        <v>29</v>
      </c>
      <c r="D59" t="s">
        <v>718</v>
      </c>
      <c r="E59" t="s">
        <v>734</v>
      </c>
      <c r="F59" t="s">
        <v>720</v>
      </c>
    </row>
    <row r="60" spans="1:6" x14ac:dyDescent="0.35">
      <c r="A60" t="s">
        <v>94</v>
      </c>
      <c r="B60" t="s">
        <v>799</v>
      </c>
      <c r="C60">
        <v>32</v>
      </c>
      <c r="D60" t="s">
        <v>725</v>
      </c>
      <c r="E60" t="s">
        <v>730</v>
      </c>
      <c r="F60" t="s">
        <v>731</v>
      </c>
    </row>
    <row r="61" spans="1:6" x14ac:dyDescent="0.35">
      <c r="A61" t="s">
        <v>12</v>
      </c>
      <c r="B61" t="s">
        <v>800</v>
      </c>
      <c r="C61">
        <v>36</v>
      </c>
      <c r="D61" t="s">
        <v>718</v>
      </c>
      <c r="E61" t="s">
        <v>738</v>
      </c>
      <c r="F61" t="s">
        <v>731</v>
      </c>
    </row>
    <row r="62" spans="1:6" x14ac:dyDescent="0.35">
      <c r="A62" t="s">
        <v>575</v>
      </c>
      <c r="B62" t="s">
        <v>801</v>
      </c>
      <c r="C62">
        <v>40</v>
      </c>
      <c r="D62" t="s">
        <v>725</v>
      </c>
      <c r="E62" t="s">
        <v>738</v>
      </c>
      <c r="F62" t="s">
        <v>720</v>
      </c>
    </row>
    <row r="63" spans="1:6" x14ac:dyDescent="0.35">
      <c r="A63" t="s">
        <v>260</v>
      </c>
      <c r="B63" t="s">
        <v>802</v>
      </c>
      <c r="C63">
        <v>32</v>
      </c>
      <c r="D63" t="s">
        <v>725</v>
      </c>
      <c r="E63" t="s">
        <v>770</v>
      </c>
      <c r="F63" t="s">
        <v>731</v>
      </c>
    </row>
    <row r="64" spans="1:6" x14ac:dyDescent="0.35">
      <c r="A64" t="s">
        <v>54</v>
      </c>
      <c r="B64" t="s">
        <v>803</v>
      </c>
      <c r="C64">
        <v>32</v>
      </c>
      <c r="D64" t="s">
        <v>718</v>
      </c>
      <c r="E64" t="s">
        <v>765</v>
      </c>
      <c r="F64" t="s">
        <v>723</v>
      </c>
    </row>
    <row r="65" spans="1:6" x14ac:dyDescent="0.35">
      <c r="A65" t="s">
        <v>133</v>
      </c>
      <c r="B65" t="s">
        <v>804</v>
      </c>
      <c r="C65">
        <v>37</v>
      </c>
      <c r="D65" t="s">
        <v>725</v>
      </c>
      <c r="E65" t="s">
        <v>785</v>
      </c>
      <c r="F65" t="s">
        <v>720</v>
      </c>
    </row>
    <row r="66" spans="1:6" x14ac:dyDescent="0.35">
      <c r="A66" t="s">
        <v>406</v>
      </c>
      <c r="B66" t="s">
        <v>805</v>
      </c>
      <c r="C66">
        <v>26</v>
      </c>
      <c r="D66" t="s">
        <v>725</v>
      </c>
      <c r="E66" t="s">
        <v>770</v>
      </c>
      <c r="F66" t="s">
        <v>723</v>
      </c>
    </row>
    <row r="67" spans="1:6" x14ac:dyDescent="0.35">
      <c r="A67" t="s">
        <v>179</v>
      </c>
      <c r="B67" t="s">
        <v>806</v>
      </c>
      <c r="C67">
        <v>21</v>
      </c>
      <c r="D67" t="s">
        <v>718</v>
      </c>
      <c r="E67" t="s">
        <v>773</v>
      </c>
      <c r="F67" t="s">
        <v>731</v>
      </c>
    </row>
    <row r="68" spans="1:6" x14ac:dyDescent="0.35">
      <c r="A68" t="s">
        <v>271</v>
      </c>
      <c r="B68" t="s">
        <v>807</v>
      </c>
      <c r="C68">
        <v>39</v>
      </c>
      <c r="D68" t="s">
        <v>718</v>
      </c>
      <c r="E68" t="s">
        <v>773</v>
      </c>
      <c r="F68" t="s">
        <v>723</v>
      </c>
    </row>
    <row r="69" spans="1:6" x14ac:dyDescent="0.35">
      <c r="A69" t="s">
        <v>587</v>
      </c>
      <c r="B69" t="s">
        <v>808</v>
      </c>
      <c r="C69">
        <v>23</v>
      </c>
      <c r="D69" t="s">
        <v>725</v>
      </c>
      <c r="E69" t="s">
        <v>785</v>
      </c>
      <c r="F69" t="s">
        <v>723</v>
      </c>
    </row>
    <row r="70" spans="1:6" x14ac:dyDescent="0.35">
      <c r="A70" t="s">
        <v>367</v>
      </c>
      <c r="B70" t="s">
        <v>809</v>
      </c>
      <c r="C70">
        <v>35</v>
      </c>
      <c r="D70" t="s">
        <v>718</v>
      </c>
      <c r="E70" t="s">
        <v>770</v>
      </c>
      <c r="F70" t="s">
        <v>731</v>
      </c>
    </row>
    <row r="71" spans="1:6" x14ac:dyDescent="0.35">
      <c r="A71" t="s">
        <v>387</v>
      </c>
      <c r="B71" t="s">
        <v>810</v>
      </c>
      <c r="C71">
        <v>29</v>
      </c>
      <c r="D71" t="s">
        <v>725</v>
      </c>
      <c r="E71" t="s">
        <v>747</v>
      </c>
      <c r="F71" t="s">
        <v>720</v>
      </c>
    </row>
    <row r="72" spans="1:6" x14ac:dyDescent="0.35">
      <c r="A72" t="s">
        <v>279</v>
      </c>
      <c r="B72" t="s">
        <v>811</v>
      </c>
      <c r="C72">
        <v>35</v>
      </c>
      <c r="D72" t="s">
        <v>725</v>
      </c>
      <c r="E72" t="s">
        <v>765</v>
      </c>
      <c r="F72" t="s">
        <v>731</v>
      </c>
    </row>
    <row r="73" spans="1:6" x14ac:dyDescent="0.35">
      <c r="A73" t="s">
        <v>137</v>
      </c>
      <c r="B73" t="s">
        <v>812</v>
      </c>
      <c r="C73">
        <v>25</v>
      </c>
      <c r="D73" t="s">
        <v>718</v>
      </c>
      <c r="E73" t="s">
        <v>752</v>
      </c>
      <c r="F73" t="s">
        <v>723</v>
      </c>
    </row>
    <row r="74" spans="1:6" x14ac:dyDescent="0.35">
      <c r="A74" t="s">
        <v>28</v>
      </c>
      <c r="B74" t="s">
        <v>813</v>
      </c>
      <c r="C74">
        <v>29</v>
      </c>
      <c r="D74" t="s">
        <v>718</v>
      </c>
      <c r="E74" t="s">
        <v>765</v>
      </c>
      <c r="F74" t="s">
        <v>720</v>
      </c>
    </row>
    <row r="75" spans="1:6" x14ac:dyDescent="0.35">
      <c r="A75" t="s">
        <v>309</v>
      </c>
      <c r="B75" t="s">
        <v>814</v>
      </c>
      <c r="C75">
        <v>43</v>
      </c>
      <c r="D75" t="s">
        <v>725</v>
      </c>
      <c r="E75" t="s">
        <v>759</v>
      </c>
      <c r="F75" t="s">
        <v>720</v>
      </c>
    </row>
    <row r="76" spans="1:6" x14ac:dyDescent="0.35">
      <c r="A76" t="s">
        <v>301</v>
      </c>
      <c r="B76" t="s">
        <v>815</v>
      </c>
      <c r="C76">
        <v>53</v>
      </c>
      <c r="D76" t="s">
        <v>718</v>
      </c>
      <c r="E76" t="s">
        <v>765</v>
      </c>
      <c r="F76" t="s">
        <v>731</v>
      </c>
    </row>
    <row r="77" spans="1:6" x14ac:dyDescent="0.35">
      <c r="A77" t="s">
        <v>382</v>
      </c>
      <c r="B77" t="s">
        <v>816</v>
      </c>
      <c r="C77">
        <v>32</v>
      </c>
      <c r="D77" t="s">
        <v>725</v>
      </c>
      <c r="E77" t="s">
        <v>726</v>
      </c>
      <c r="F77" t="s">
        <v>720</v>
      </c>
    </row>
    <row r="78" spans="1:6" x14ac:dyDescent="0.35">
      <c r="A78" t="s">
        <v>496</v>
      </c>
      <c r="B78" t="s">
        <v>817</v>
      </c>
      <c r="C78">
        <v>23</v>
      </c>
      <c r="D78" t="s">
        <v>725</v>
      </c>
      <c r="E78" t="s">
        <v>759</v>
      </c>
      <c r="F78" t="s">
        <v>731</v>
      </c>
    </row>
    <row r="79" spans="1:6" x14ac:dyDescent="0.35">
      <c r="A79" t="s">
        <v>177</v>
      </c>
      <c r="B79" t="s">
        <v>818</v>
      </c>
      <c r="C79">
        <v>41</v>
      </c>
      <c r="D79" t="s">
        <v>725</v>
      </c>
      <c r="E79" t="s">
        <v>738</v>
      </c>
      <c r="F79" t="s">
        <v>731</v>
      </c>
    </row>
    <row r="80" spans="1:6" x14ac:dyDescent="0.35">
      <c r="A80" t="s">
        <v>237</v>
      </c>
      <c r="B80" t="s">
        <v>819</v>
      </c>
      <c r="C80">
        <v>34</v>
      </c>
      <c r="D80" t="s">
        <v>725</v>
      </c>
      <c r="E80" t="s">
        <v>734</v>
      </c>
      <c r="F80" t="s">
        <v>720</v>
      </c>
    </row>
    <row r="81" spans="1:6" x14ac:dyDescent="0.35">
      <c r="A81" t="s">
        <v>820</v>
      </c>
      <c r="B81" t="s">
        <v>821</v>
      </c>
      <c r="C81">
        <v>31</v>
      </c>
      <c r="D81" t="s">
        <v>725</v>
      </c>
      <c r="E81" t="s">
        <v>752</v>
      </c>
      <c r="F81" t="s">
        <v>720</v>
      </c>
    </row>
    <row r="82" spans="1:6" x14ac:dyDescent="0.35">
      <c r="A82" t="s">
        <v>149</v>
      </c>
      <c r="B82" t="s">
        <v>822</v>
      </c>
      <c r="C82">
        <v>55</v>
      </c>
      <c r="D82" t="s">
        <v>725</v>
      </c>
      <c r="E82" t="s">
        <v>730</v>
      </c>
      <c r="F82" t="s">
        <v>720</v>
      </c>
    </row>
    <row r="83" spans="1:6" x14ac:dyDescent="0.35">
      <c r="A83" t="s">
        <v>66</v>
      </c>
      <c r="B83" t="s">
        <v>823</v>
      </c>
      <c r="C83">
        <v>51</v>
      </c>
      <c r="D83" t="s">
        <v>718</v>
      </c>
      <c r="E83" t="s">
        <v>752</v>
      </c>
      <c r="F83" t="s">
        <v>723</v>
      </c>
    </row>
    <row r="84" spans="1:6" x14ac:dyDescent="0.35">
      <c r="A84" t="s">
        <v>98</v>
      </c>
      <c r="B84" t="s">
        <v>824</v>
      </c>
      <c r="C84">
        <v>29</v>
      </c>
      <c r="D84" t="s">
        <v>725</v>
      </c>
      <c r="E84" t="s">
        <v>752</v>
      </c>
      <c r="F84" t="s">
        <v>731</v>
      </c>
    </row>
    <row r="85" spans="1:6" x14ac:dyDescent="0.35">
      <c r="A85" t="s">
        <v>72</v>
      </c>
      <c r="B85" t="s">
        <v>825</v>
      </c>
      <c r="C85">
        <v>24</v>
      </c>
      <c r="D85" t="s">
        <v>718</v>
      </c>
      <c r="E85" t="s">
        <v>747</v>
      </c>
      <c r="F85" t="s">
        <v>731</v>
      </c>
    </row>
    <row r="86" spans="1:6" x14ac:dyDescent="0.35">
      <c r="A86" t="s">
        <v>127</v>
      </c>
      <c r="B86" t="s">
        <v>826</v>
      </c>
      <c r="C86">
        <v>28</v>
      </c>
      <c r="D86" t="s">
        <v>718</v>
      </c>
      <c r="E86" t="s">
        <v>719</v>
      </c>
      <c r="F86" t="s">
        <v>723</v>
      </c>
    </row>
    <row r="87" spans="1:6" x14ac:dyDescent="0.35">
      <c r="A87" t="s">
        <v>517</v>
      </c>
      <c r="B87" t="s">
        <v>827</v>
      </c>
      <c r="C87">
        <v>36</v>
      </c>
      <c r="D87" t="s">
        <v>725</v>
      </c>
      <c r="E87" t="s">
        <v>722</v>
      </c>
      <c r="F87" t="s">
        <v>720</v>
      </c>
    </row>
    <row r="88" spans="1:6" x14ac:dyDescent="0.35">
      <c r="A88" t="s">
        <v>435</v>
      </c>
      <c r="B88" t="s">
        <v>828</v>
      </c>
      <c r="C88">
        <v>48</v>
      </c>
      <c r="D88" t="s">
        <v>718</v>
      </c>
      <c r="E88" t="s">
        <v>759</v>
      </c>
      <c r="F88" t="s">
        <v>720</v>
      </c>
    </row>
    <row r="89" spans="1:6" x14ac:dyDescent="0.35">
      <c r="A89" t="s">
        <v>312</v>
      </c>
      <c r="B89" t="s">
        <v>829</v>
      </c>
      <c r="C89">
        <v>29</v>
      </c>
      <c r="D89" t="s">
        <v>718</v>
      </c>
      <c r="E89" t="s">
        <v>722</v>
      </c>
      <c r="F89" t="s">
        <v>731</v>
      </c>
    </row>
    <row r="90" spans="1:6" x14ac:dyDescent="0.35">
      <c r="A90" t="s">
        <v>296</v>
      </c>
      <c r="B90" t="s">
        <v>830</v>
      </c>
      <c r="C90">
        <v>32</v>
      </c>
      <c r="D90" t="s">
        <v>725</v>
      </c>
      <c r="E90" t="s">
        <v>785</v>
      </c>
      <c r="F90" t="s">
        <v>720</v>
      </c>
    </row>
    <row r="91" spans="1:6" x14ac:dyDescent="0.35">
      <c r="A91" t="s">
        <v>831</v>
      </c>
      <c r="B91" t="s">
        <v>832</v>
      </c>
      <c r="C91">
        <v>23</v>
      </c>
      <c r="D91" t="s">
        <v>718</v>
      </c>
      <c r="E91" t="s">
        <v>730</v>
      </c>
      <c r="F91" t="s">
        <v>720</v>
      </c>
    </row>
    <row r="92" spans="1:6" x14ac:dyDescent="0.35">
      <c r="A92" t="s">
        <v>241</v>
      </c>
      <c r="B92" t="s">
        <v>833</v>
      </c>
      <c r="C92">
        <v>38</v>
      </c>
      <c r="D92" t="s">
        <v>718</v>
      </c>
      <c r="E92" t="s">
        <v>757</v>
      </c>
      <c r="F92" t="s">
        <v>731</v>
      </c>
    </row>
    <row r="93" spans="1:6" x14ac:dyDescent="0.35">
      <c r="A93" t="s">
        <v>45</v>
      </c>
      <c r="B93" t="s">
        <v>834</v>
      </c>
      <c r="C93">
        <v>39</v>
      </c>
      <c r="D93" t="s">
        <v>718</v>
      </c>
      <c r="E93" t="s">
        <v>752</v>
      </c>
      <c r="F93" t="s">
        <v>731</v>
      </c>
    </row>
    <row r="94" spans="1:6" x14ac:dyDescent="0.35">
      <c r="A94" t="s">
        <v>90</v>
      </c>
      <c r="B94" t="s">
        <v>835</v>
      </c>
      <c r="C94">
        <v>50</v>
      </c>
      <c r="D94" t="s">
        <v>725</v>
      </c>
      <c r="E94" t="s">
        <v>785</v>
      </c>
      <c r="F94" t="s">
        <v>731</v>
      </c>
    </row>
    <row r="95" spans="1:6" x14ac:dyDescent="0.35">
      <c r="A95" t="s">
        <v>475</v>
      </c>
      <c r="B95" t="s">
        <v>836</v>
      </c>
      <c r="C95">
        <v>51</v>
      </c>
      <c r="D95" t="s">
        <v>718</v>
      </c>
      <c r="E95" t="s">
        <v>730</v>
      </c>
      <c r="F95" t="s">
        <v>720</v>
      </c>
    </row>
    <row r="96" spans="1:6" x14ac:dyDescent="0.35">
      <c r="A96" t="s">
        <v>25</v>
      </c>
      <c r="B96" t="s">
        <v>837</v>
      </c>
      <c r="C96">
        <v>28</v>
      </c>
      <c r="D96" t="s">
        <v>725</v>
      </c>
      <c r="E96" t="s">
        <v>765</v>
      </c>
      <c r="F96" t="s">
        <v>731</v>
      </c>
    </row>
    <row r="97" spans="1:6" x14ac:dyDescent="0.35">
      <c r="A97" t="s">
        <v>553</v>
      </c>
      <c r="B97" t="s">
        <v>838</v>
      </c>
      <c r="C97">
        <v>27</v>
      </c>
      <c r="D97" t="s">
        <v>718</v>
      </c>
      <c r="E97" t="s">
        <v>719</v>
      </c>
      <c r="F97" t="s">
        <v>720</v>
      </c>
    </row>
    <row r="98" spans="1:6" x14ac:dyDescent="0.35">
      <c r="A98" t="s">
        <v>472</v>
      </c>
      <c r="B98" t="s">
        <v>839</v>
      </c>
      <c r="C98">
        <v>27</v>
      </c>
      <c r="D98" t="s">
        <v>725</v>
      </c>
      <c r="E98" t="s">
        <v>719</v>
      </c>
      <c r="F98" t="s">
        <v>720</v>
      </c>
    </row>
    <row r="99" spans="1:6" x14ac:dyDescent="0.35">
      <c r="A99" t="s">
        <v>68</v>
      </c>
      <c r="B99" t="s">
        <v>840</v>
      </c>
      <c r="C99">
        <v>26</v>
      </c>
      <c r="D99" t="s">
        <v>718</v>
      </c>
      <c r="E99" t="s">
        <v>728</v>
      </c>
      <c r="F99" t="s">
        <v>731</v>
      </c>
    </row>
    <row r="100" spans="1:6" x14ac:dyDescent="0.35">
      <c r="A100" t="s">
        <v>498</v>
      </c>
      <c r="B100" t="s">
        <v>841</v>
      </c>
      <c r="C100">
        <v>47</v>
      </c>
      <c r="D100" t="s">
        <v>718</v>
      </c>
      <c r="E100" t="s">
        <v>752</v>
      </c>
      <c r="F100" t="s">
        <v>731</v>
      </c>
    </row>
    <row r="101" spans="1:6" x14ac:dyDescent="0.35">
      <c r="A101" t="s">
        <v>630</v>
      </c>
      <c r="B101" t="s">
        <v>842</v>
      </c>
      <c r="C101">
        <v>32</v>
      </c>
      <c r="D101" t="s">
        <v>725</v>
      </c>
      <c r="E101" t="s">
        <v>728</v>
      </c>
      <c r="F101" t="s">
        <v>720</v>
      </c>
    </row>
    <row r="102" spans="1:6" x14ac:dyDescent="0.35">
      <c r="A102" t="s">
        <v>219</v>
      </c>
      <c r="B102" t="s">
        <v>843</v>
      </c>
      <c r="C102">
        <v>33</v>
      </c>
      <c r="D102" t="s">
        <v>718</v>
      </c>
      <c r="E102" t="s">
        <v>719</v>
      </c>
      <c r="F102" t="s">
        <v>720</v>
      </c>
    </row>
    <row r="103" spans="1:6" x14ac:dyDescent="0.35">
      <c r="A103" t="s">
        <v>74</v>
      </c>
      <c r="B103" t="s">
        <v>844</v>
      </c>
      <c r="C103">
        <v>36</v>
      </c>
      <c r="D103" t="s">
        <v>725</v>
      </c>
      <c r="E103" t="s">
        <v>752</v>
      </c>
      <c r="F103" t="s">
        <v>720</v>
      </c>
    </row>
    <row r="104" spans="1:6" x14ac:dyDescent="0.35">
      <c r="A104" t="s">
        <v>129</v>
      </c>
      <c r="B104" t="s">
        <v>845</v>
      </c>
      <c r="C104">
        <v>34</v>
      </c>
      <c r="D104" t="s">
        <v>718</v>
      </c>
      <c r="E104" t="s">
        <v>719</v>
      </c>
      <c r="F104" t="s">
        <v>720</v>
      </c>
    </row>
    <row r="105" spans="1:6" x14ac:dyDescent="0.35">
      <c r="A105" t="s">
        <v>197</v>
      </c>
      <c r="B105" t="s">
        <v>846</v>
      </c>
      <c r="C105">
        <v>31</v>
      </c>
      <c r="D105" t="s">
        <v>725</v>
      </c>
      <c r="E105" t="s">
        <v>730</v>
      </c>
      <c r="F105" t="s">
        <v>723</v>
      </c>
    </row>
    <row r="106" spans="1:6" x14ac:dyDescent="0.35">
      <c r="A106" t="s">
        <v>314</v>
      </c>
      <c r="B106" t="s">
        <v>847</v>
      </c>
      <c r="C106">
        <v>37</v>
      </c>
      <c r="D106" t="s">
        <v>725</v>
      </c>
      <c r="E106" t="s">
        <v>770</v>
      </c>
      <c r="F106" t="s">
        <v>731</v>
      </c>
    </row>
    <row r="107" spans="1:6" x14ac:dyDescent="0.35">
      <c r="A107" t="s">
        <v>199</v>
      </c>
      <c r="B107" t="s">
        <v>848</v>
      </c>
      <c r="C107">
        <v>43</v>
      </c>
      <c r="D107" t="s">
        <v>718</v>
      </c>
      <c r="E107" t="s">
        <v>738</v>
      </c>
      <c r="F107" t="s">
        <v>720</v>
      </c>
    </row>
    <row r="108" spans="1:6" x14ac:dyDescent="0.35">
      <c r="A108" t="s">
        <v>49</v>
      </c>
      <c r="B108" t="s">
        <v>849</v>
      </c>
      <c r="C108">
        <v>23</v>
      </c>
      <c r="D108" t="s">
        <v>725</v>
      </c>
      <c r="E108" t="s">
        <v>765</v>
      </c>
      <c r="F108" t="s">
        <v>720</v>
      </c>
    </row>
    <row r="109" spans="1:6" x14ac:dyDescent="0.35">
      <c r="A109" t="s">
        <v>147</v>
      </c>
      <c r="B109" t="s">
        <v>850</v>
      </c>
      <c r="C109">
        <v>39</v>
      </c>
      <c r="D109" t="s">
        <v>725</v>
      </c>
      <c r="E109" t="s">
        <v>730</v>
      </c>
      <c r="F109" t="s">
        <v>723</v>
      </c>
    </row>
    <row r="110" spans="1:6" x14ac:dyDescent="0.35">
      <c r="A110" t="s">
        <v>114</v>
      </c>
      <c r="B110" t="s">
        <v>851</v>
      </c>
      <c r="C110">
        <v>49</v>
      </c>
      <c r="D110" t="s">
        <v>725</v>
      </c>
      <c r="E110" t="s">
        <v>719</v>
      </c>
      <c r="F110" t="s">
        <v>720</v>
      </c>
    </row>
    <row r="111" spans="1:6" x14ac:dyDescent="0.35">
      <c r="A111" t="s">
        <v>33</v>
      </c>
      <c r="B111" t="s">
        <v>852</v>
      </c>
      <c r="C111">
        <v>39</v>
      </c>
      <c r="D111" t="s">
        <v>718</v>
      </c>
      <c r="E111" t="s">
        <v>730</v>
      </c>
      <c r="F111" t="s">
        <v>731</v>
      </c>
    </row>
    <row r="112" spans="1:6" x14ac:dyDescent="0.35">
      <c r="A112" t="s">
        <v>305</v>
      </c>
      <c r="B112" t="s">
        <v>853</v>
      </c>
      <c r="C112">
        <v>34</v>
      </c>
      <c r="D112" t="s">
        <v>718</v>
      </c>
      <c r="E112" t="s">
        <v>752</v>
      </c>
      <c r="F112" t="s">
        <v>731</v>
      </c>
    </row>
    <row r="113" spans="1:6" x14ac:dyDescent="0.35">
      <c r="A113" t="s">
        <v>292</v>
      </c>
      <c r="B113" t="s">
        <v>854</v>
      </c>
      <c r="C113">
        <v>26</v>
      </c>
      <c r="D113" t="s">
        <v>725</v>
      </c>
      <c r="E113" t="s">
        <v>726</v>
      </c>
      <c r="F113" t="s">
        <v>720</v>
      </c>
    </row>
    <row r="114" spans="1:6" x14ac:dyDescent="0.35">
      <c r="A114" t="s">
        <v>657</v>
      </c>
      <c r="B114" t="s">
        <v>855</v>
      </c>
      <c r="C114">
        <v>47</v>
      </c>
      <c r="D114" t="s">
        <v>718</v>
      </c>
      <c r="E114" t="s">
        <v>747</v>
      </c>
      <c r="F114" t="s">
        <v>723</v>
      </c>
    </row>
    <row r="115" spans="1:6" x14ac:dyDescent="0.35">
      <c r="A115" t="s">
        <v>505</v>
      </c>
      <c r="B115" t="s">
        <v>856</v>
      </c>
      <c r="C115">
        <v>42</v>
      </c>
      <c r="D115" t="s">
        <v>725</v>
      </c>
      <c r="E115" t="s">
        <v>722</v>
      </c>
      <c r="F115" t="s">
        <v>720</v>
      </c>
    </row>
    <row r="116" spans="1:6" x14ac:dyDescent="0.35">
      <c r="A116" t="s">
        <v>77</v>
      </c>
      <c r="B116" t="s">
        <v>857</v>
      </c>
      <c r="C116">
        <v>37</v>
      </c>
      <c r="D116" t="s">
        <v>725</v>
      </c>
      <c r="E116" t="s">
        <v>765</v>
      </c>
      <c r="F116" t="s">
        <v>720</v>
      </c>
    </row>
    <row r="117" spans="1:6" x14ac:dyDescent="0.35">
      <c r="A117" t="s">
        <v>360</v>
      </c>
      <c r="B117" t="s">
        <v>858</v>
      </c>
      <c r="C117">
        <v>18</v>
      </c>
      <c r="D117" t="s">
        <v>718</v>
      </c>
      <c r="E117" t="s">
        <v>752</v>
      </c>
      <c r="F117" t="s">
        <v>720</v>
      </c>
    </row>
    <row r="118" spans="1:6" x14ac:dyDescent="0.35">
      <c r="A118" t="s">
        <v>335</v>
      </c>
      <c r="B118" t="s">
        <v>859</v>
      </c>
      <c r="C118">
        <v>31</v>
      </c>
      <c r="D118" t="s">
        <v>718</v>
      </c>
      <c r="E118" t="s">
        <v>734</v>
      </c>
      <c r="F118" t="s">
        <v>731</v>
      </c>
    </row>
    <row r="119" spans="1:6" x14ac:dyDescent="0.35">
      <c r="A119" t="s">
        <v>338</v>
      </c>
      <c r="B119" t="s">
        <v>860</v>
      </c>
      <c r="C119">
        <v>41</v>
      </c>
      <c r="D119" t="s">
        <v>718</v>
      </c>
      <c r="E119" t="s">
        <v>728</v>
      </c>
      <c r="F119" t="s">
        <v>720</v>
      </c>
    </row>
    <row r="120" spans="1:6" x14ac:dyDescent="0.35">
      <c r="A120" t="s">
        <v>64</v>
      </c>
      <c r="B120" t="s">
        <v>861</v>
      </c>
      <c r="C120">
        <v>39</v>
      </c>
      <c r="D120" t="s">
        <v>718</v>
      </c>
      <c r="E120" t="s">
        <v>747</v>
      </c>
      <c r="F120" t="s">
        <v>720</v>
      </c>
    </row>
    <row r="121" spans="1:6" x14ac:dyDescent="0.35">
      <c r="A121" t="s">
        <v>493</v>
      </c>
      <c r="B121" t="s">
        <v>862</v>
      </c>
      <c r="C121">
        <v>32</v>
      </c>
      <c r="D121" t="s">
        <v>725</v>
      </c>
      <c r="E121" t="s">
        <v>734</v>
      </c>
      <c r="F121" t="s">
        <v>720</v>
      </c>
    </row>
    <row r="122" spans="1:6" x14ac:dyDescent="0.35">
      <c r="A122" t="s">
        <v>62</v>
      </c>
      <c r="B122" t="s">
        <v>863</v>
      </c>
      <c r="C122">
        <v>40</v>
      </c>
      <c r="D122" t="s">
        <v>718</v>
      </c>
      <c r="E122" t="s">
        <v>765</v>
      </c>
      <c r="F122" t="s">
        <v>723</v>
      </c>
    </row>
    <row r="123" spans="1:6" x14ac:dyDescent="0.35">
      <c r="A123" t="s">
        <v>424</v>
      </c>
      <c r="B123" t="s">
        <v>864</v>
      </c>
      <c r="C123">
        <v>35</v>
      </c>
      <c r="D123" t="s">
        <v>718</v>
      </c>
      <c r="E123" t="s">
        <v>738</v>
      </c>
      <c r="F123" t="s">
        <v>731</v>
      </c>
    </row>
    <row r="124" spans="1:6" x14ac:dyDescent="0.35">
      <c r="A124" t="s">
        <v>526</v>
      </c>
      <c r="B124" t="s">
        <v>865</v>
      </c>
      <c r="C124">
        <v>26</v>
      </c>
      <c r="D124" t="s">
        <v>718</v>
      </c>
      <c r="E124" t="s">
        <v>734</v>
      </c>
      <c r="F124" t="s">
        <v>723</v>
      </c>
    </row>
    <row r="125" spans="1:6" x14ac:dyDescent="0.35">
      <c r="A125" t="s">
        <v>174</v>
      </c>
      <c r="B125" t="s">
        <v>866</v>
      </c>
      <c r="C125">
        <v>25</v>
      </c>
      <c r="D125" t="s">
        <v>725</v>
      </c>
      <c r="E125" t="s">
        <v>726</v>
      </c>
      <c r="F125" t="s">
        <v>720</v>
      </c>
    </row>
    <row r="126" spans="1:6" x14ac:dyDescent="0.35">
      <c r="A126" t="s">
        <v>566</v>
      </c>
      <c r="B126" t="s">
        <v>867</v>
      </c>
      <c r="C126">
        <v>27</v>
      </c>
      <c r="D126" t="s">
        <v>725</v>
      </c>
      <c r="E126" t="s">
        <v>728</v>
      </c>
      <c r="F126" t="s">
        <v>723</v>
      </c>
    </row>
    <row r="127" spans="1:6" x14ac:dyDescent="0.35">
      <c r="A127" t="s">
        <v>397</v>
      </c>
      <c r="B127" t="s">
        <v>868</v>
      </c>
      <c r="C127">
        <v>49</v>
      </c>
      <c r="D127" t="s">
        <v>725</v>
      </c>
      <c r="E127" t="s">
        <v>730</v>
      </c>
      <c r="F127" t="s">
        <v>720</v>
      </c>
    </row>
    <row r="128" spans="1:6" x14ac:dyDescent="0.35">
      <c r="A128" t="s">
        <v>105</v>
      </c>
      <c r="B128" t="s">
        <v>869</v>
      </c>
      <c r="C128">
        <v>40</v>
      </c>
      <c r="D128" t="s">
        <v>725</v>
      </c>
      <c r="E128" t="s">
        <v>747</v>
      </c>
      <c r="F128" t="s">
        <v>731</v>
      </c>
    </row>
    <row r="129" spans="1:6" x14ac:dyDescent="0.35">
      <c r="A129" t="s">
        <v>217</v>
      </c>
      <c r="B129" t="s">
        <v>870</v>
      </c>
      <c r="C129">
        <v>25</v>
      </c>
      <c r="D129" t="s">
        <v>725</v>
      </c>
      <c r="E129" t="s">
        <v>773</v>
      </c>
      <c r="F129" t="s">
        <v>720</v>
      </c>
    </row>
    <row r="130" spans="1:6" x14ac:dyDescent="0.35">
      <c r="A130" t="s">
        <v>394</v>
      </c>
      <c r="B130" t="s">
        <v>871</v>
      </c>
      <c r="C130">
        <v>38</v>
      </c>
      <c r="D130" t="s">
        <v>725</v>
      </c>
      <c r="E130" t="s">
        <v>757</v>
      </c>
      <c r="F130" t="s">
        <v>731</v>
      </c>
    </row>
    <row r="131" spans="1:6" x14ac:dyDescent="0.35">
      <c r="A131" t="s">
        <v>872</v>
      </c>
      <c r="B131" t="s">
        <v>873</v>
      </c>
      <c r="C131">
        <v>33</v>
      </c>
      <c r="D131" t="s">
        <v>725</v>
      </c>
      <c r="E131" t="s">
        <v>722</v>
      </c>
      <c r="F131" t="s">
        <v>720</v>
      </c>
    </row>
    <row r="132" spans="1:6" x14ac:dyDescent="0.35">
      <c r="A132" t="s">
        <v>317</v>
      </c>
      <c r="B132" t="s">
        <v>874</v>
      </c>
      <c r="C132">
        <v>47</v>
      </c>
      <c r="D132" t="s">
        <v>718</v>
      </c>
      <c r="E132" t="s">
        <v>765</v>
      </c>
      <c r="F132" t="s">
        <v>731</v>
      </c>
    </row>
    <row r="133" spans="1:6" x14ac:dyDescent="0.35">
      <c r="A133" t="s">
        <v>303</v>
      </c>
      <c r="B133" t="s">
        <v>875</v>
      </c>
      <c r="C133">
        <v>34</v>
      </c>
      <c r="D133" t="s">
        <v>725</v>
      </c>
      <c r="E133" t="s">
        <v>759</v>
      </c>
      <c r="F133" t="s">
        <v>720</v>
      </c>
    </row>
    <row r="134" spans="1:6" x14ac:dyDescent="0.35">
      <c r="A134" t="s">
        <v>283</v>
      </c>
      <c r="B134" t="s">
        <v>876</v>
      </c>
      <c r="C134">
        <v>41</v>
      </c>
      <c r="D134" t="s">
        <v>718</v>
      </c>
      <c r="E134" t="s">
        <v>770</v>
      </c>
      <c r="F134" t="s">
        <v>723</v>
      </c>
    </row>
    <row r="135" spans="1:6" x14ac:dyDescent="0.35">
      <c r="A135" t="s">
        <v>234</v>
      </c>
      <c r="B135" t="s">
        <v>877</v>
      </c>
      <c r="C135">
        <v>34</v>
      </c>
      <c r="D135" t="s">
        <v>718</v>
      </c>
      <c r="E135" t="s">
        <v>770</v>
      </c>
      <c r="F135" t="s">
        <v>731</v>
      </c>
    </row>
    <row r="136" spans="1:6" x14ac:dyDescent="0.35">
      <c r="A136" t="s">
        <v>878</v>
      </c>
      <c r="B136" t="s">
        <v>879</v>
      </c>
      <c r="C136">
        <v>49</v>
      </c>
      <c r="D136" t="s">
        <v>725</v>
      </c>
      <c r="E136" t="s">
        <v>730</v>
      </c>
      <c r="F136" t="s">
        <v>731</v>
      </c>
    </row>
    <row r="137" spans="1:6" x14ac:dyDescent="0.35">
      <c r="A137" t="s">
        <v>262</v>
      </c>
      <c r="B137" t="s">
        <v>880</v>
      </c>
      <c r="C137">
        <v>22</v>
      </c>
      <c r="D137" t="s">
        <v>718</v>
      </c>
      <c r="E137" t="s">
        <v>770</v>
      </c>
      <c r="F137" t="s">
        <v>720</v>
      </c>
    </row>
    <row r="138" spans="1:6" x14ac:dyDescent="0.35">
      <c r="A138" t="s">
        <v>422</v>
      </c>
      <c r="B138" t="s">
        <v>881</v>
      </c>
      <c r="C138">
        <v>36</v>
      </c>
      <c r="D138" t="s">
        <v>725</v>
      </c>
      <c r="E138" t="s">
        <v>759</v>
      </c>
      <c r="F138" t="s">
        <v>720</v>
      </c>
    </row>
    <row r="139" spans="1:6" x14ac:dyDescent="0.35">
      <c r="A139" t="s">
        <v>569</v>
      </c>
      <c r="B139" t="s">
        <v>882</v>
      </c>
      <c r="C139">
        <v>25</v>
      </c>
      <c r="D139" t="s">
        <v>718</v>
      </c>
      <c r="E139" t="s">
        <v>785</v>
      </c>
      <c r="F139" t="s">
        <v>731</v>
      </c>
    </row>
    <row r="140" spans="1:6" x14ac:dyDescent="0.35">
      <c r="A140" t="s">
        <v>187</v>
      </c>
      <c r="B140" t="s">
        <v>883</v>
      </c>
      <c r="C140">
        <v>38</v>
      </c>
      <c r="D140" t="s">
        <v>718</v>
      </c>
      <c r="E140" t="s">
        <v>730</v>
      </c>
      <c r="F140" t="s">
        <v>723</v>
      </c>
    </row>
    <row r="141" spans="1:6" x14ac:dyDescent="0.35">
      <c r="A141" t="s">
        <v>884</v>
      </c>
      <c r="B141" t="s">
        <v>885</v>
      </c>
      <c r="C141">
        <v>29</v>
      </c>
      <c r="D141" t="s">
        <v>718</v>
      </c>
      <c r="E141" t="s">
        <v>765</v>
      </c>
      <c r="F141" t="s">
        <v>723</v>
      </c>
    </row>
    <row r="142" spans="1:6" x14ac:dyDescent="0.35">
      <c r="A142" t="s">
        <v>172</v>
      </c>
      <c r="B142" t="s">
        <v>886</v>
      </c>
      <c r="C142">
        <v>24</v>
      </c>
      <c r="D142" t="s">
        <v>725</v>
      </c>
      <c r="E142" t="s">
        <v>722</v>
      </c>
      <c r="F142" t="s">
        <v>731</v>
      </c>
    </row>
    <row r="143" spans="1:6" x14ac:dyDescent="0.35">
      <c r="A143" t="s">
        <v>192</v>
      </c>
      <c r="B143" t="s">
        <v>887</v>
      </c>
      <c r="C143">
        <v>31</v>
      </c>
      <c r="D143" t="s">
        <v>725</v>
      </c>
      <c r="E143" t="s">
        <v>730</v>
      </c>
      <c r="F143" t="s">
        <v>720</v>
      </c>
    </row>
    <row r="144" spans="1:6" x14ac:dyDescent="0.35">
      <c r="A144" t="s">
        <v>322</v>
      </c>
      <c r="B144" t="s">
        <v>888</v>
      </c>
      <c r="C144">
        <v>30</v>
      </c>
      <c r="D144" t="s">
        <v>718</v>
      </c>
      <c r="E144" t="s">
        <v>722</v>
      </c>
      <c r="F144" t="s">
        <v>731</v>
      </c>
    </row>
    <row r="145" spans="1:6" x14ac:dyDescent="0.35">
      <c r="A145" t="s">
        <v>159</v>
      </c>
      <c r="B145" t="s">
        <v>889</v>
      </c>
      <c r="C145">
        <v>30</v>
      </c>
      <c r="D145" t="s">
        <v>718</v>
      </c>
      <c r="E145" t="s">
        <v>738</v>
      </c>
      <c r="F145" t="s">
        <v>720</v>
      </c>
    </row>
    <row r="146" spans="1:6" x14ac:dyDescent="0.35">
      <c r="A146" t="s">
        <v>443</v>
      </c>
      <c r="B146" t="s">
        <v>890</v>
      </c>
      <c r="C146">
        <v>46</v>
      </c>
      <c r="D146" t="s">
        <v>718</v>
      </c>
      <c r="E146" t="s">
        <v>728</v>
      </c>
      <c r="F146" t="s">
        <v>723</v>
      </c>
    </row>
    <row r="147" spans="1:6" x14ac:dyDescent="0.35">
      <c r="A147" t="s">
        <v>85</v>
      </c>
      <c r="B147" t="s">
        <v>891</v>
      </c>
      <c r="C147">
        <v>41</v>
      </c>
      <c r="D147" t="s">
        <v>725</v>
      </c>
      <c r="E147" t="s">
        <v>752</v>
      </c>
      <c r="F147" t="s">
        <v>720</v>
      </c>
    </row>
    <row r="148" spans="1:6" x14ac:dyDescent="0.35">
      <c r="A148" t="s">
        <v>372</v>
      </c>
      <c r="B148" t="s">
        <v>892</v>
      </c>
      <c r="C148">
        <v>27</v>
      </c>
      <c r="D148" t="s">
        <v>725</v>
      </c>
      <c r="E148" t="s">
        <v>752</v>
      </c>
      <c r="F148" t="s">
        <v>731</v>
      </c>
    </row>
    <row r="149" spans="1:6" x14ac:dyDescent="0.35">
      <c r="A149" t="s">
        <v>190</v>
      </c>
      <c r="B149" t="s">
        <v>893</v>
      </c>
      <c r="C149">
        <v>44</v>
      </c>
      <c r="D149" t="s">
        <v>718</v>
      </c>
      <c r="E149" t="s">
        <v>719</v>
      </c>
      <c r="F149" t="s">
        <v>720</v>
      </c>
    </row>
    <row r="150" spans="1:6" x14ac:dyDescent="0.35">
      <c r="A150" t="s">
        <v>589</v>
      </c>
      <c r="B150" t="s">
        <v>894</v>
      </c>
      <c r="C150">
        <v>21</v>
      </c>
      <c r="D150" t="s">
        <v>718</v>
      </c>
      <c r="E150" t="s">
        <v>747</v>
      </c>
      <c r="F150" t="s">
        <v>731</v>
      </c>
    </row>
    <row r="151" spans="1:6" x14ac:dyDescent="0.35">
      <c r="A151" t="s">
        <v>145</v>
      </c>
      <c r="B151" t="s">
        <v>895</v>
      </c>
      <c r="C151">
        <v>29</v>
      </c>
      <c r="D151" t="s">
        <v>725</v>
      </c>
      <c r="E151" t="s">
        <v>773</v>
      </c>
      <c r="F151" t="s">
        <v>731</v>
      </c>
    </row>
    <row r="152" spans="1:6" x14ac:dyDescent="0.35">
      <c r="A152" t="s">
        <v>202</v>
      </c>
      <c r="B152" t="s">
        <v>896</v>
      </c>
      <c r="C152">
        <v>37</v>
      </c>
      <c r="D152" t="s">
        <v>718</v>
      </c>
      <c r="E152" t="s">
        <v>759</v>
      </c>
      <c r="F152" t="s">
        <v>731</v>
      </c>
    </row>
    <row r="153" spans="1:6" x14ac:dyDescent="0.35">
      <c r="A153" t="s">
        <v>285</v>
      </c>
      <c r="B153" t="s">
        <v>897</v>
      </c>
      <c r="C153">
        <v>31</v>
      </c>
      <c r="D153" t="s">
        <v>718</v>
      </c>
      <c r="E153" t="s">
        <v>785</v>
      </c>
      <c r="F153" t="s">
        <v>720</v>
      </c>
    </row>
    <row r="154" spans="1:6" x14ac:dyDescent="0.35">
      <c r="A154" t="s">
        <v>70</v>
      </c>
      <c r="B154" t="s">
        <v>898</v>
      </c>
      <c r="C154">
        <v>48</v>
      </c>
      <c r="D154" t="s">
        <v>725</v>
      </c>
      <c r="E154" t="s">
        <v>730</v>
      </c>
      <c r="F154" t="s">
        <v>723</v>
      </c>
    </row>
    <row r="155" spans="1:6" x14ac:dyDescent="0.35">
      <c r="A155" t="s">
        <v>294</v>
      </c>
      <c r="B155" t="s">
        <v>899</v>
      </c>
      <c r="C155">
        <v>28</v>
      </c>
      <c r="D155" t="s">
        <v>725</v>
      </c>
      <c r="E155" t="s">
        <v>738</v>
      </c>
      <c r="F155" t="s">
        <v>723</v>
      </c>
    </row>
    <row r="156" spans="1:6" x14ac:dyDescent="0.35">
      <c r="A156" t="s">
        <v>628</v>
      </c>
      <c r="B156" t="s">
        <v>900</v>
      </c>
      <c r="C156">
        <v>46</v>
      </c>
      <c r="D156" t="s">
        <v>725</v>
      </c>
      <c r="E156" t="s">
        <v>770</v>
      </c>
      <c r="F156" t="s">
        <v>723</v>
      </c>
    </row>
    <row r="157" spans="1:6" x14ac:dyDescent="0.35">
      <c r="A157" t="s">
        <v>644</v>
      </c>
      <c r="B157" t="s">
        <v>901</v>
      </c>
      <c r="C157">
        <v>27</v>
      </c>
      <c r="D157" t="s">
        <v>718</v>
      </c>
      <c r="E157" t="s">
        <v>765</v>
      </c>
      <c r="F157" t="s">
        <v>723</v>
      </c>
    </row>
    <row r="158" spans="1:6" x14ac:dyDescent="0.35">
      <c r="A158" t="s">
        <v>446</v>
      </c>
      <c r="B158" t="s">
        <v>902</v>
      </c>
      <c r="C158">
        <v>39</v>
      </c>
      <c r="D158" t="s">
        <v>725</v>
      </c>
      <c r="E158" t="s">
        <v>773</v>
      </c>
      <c r="F158" t="s">
        <v>731</v>
      </c>
    </row>
    <row r="159" spans="1:6" x14ac:dyDescent="0.35">
      <c r="A159" t="s">
        <v>16</v>
      </c>
      <c r="B159" t="s">
        <v>903</v>
      </c>
      <c r="C159">
        <v>19</v>
      </c>
      <c r="D159" t="s">
        <v>718</v>
      </c>
      <c r="E159" t="s">
        <v>785</v>
      </c>
      <c r="F159" t="s">
        <v>731</v>
      </c>
    </row>
    <row r="160" spans="1:6" x14ac:dyDescent="0.35">
      <c r="A160" t="s">
        <v>108</v>
      </c>
      <c r="B160" t="s">
        <v>904</v>
      </c>
      <c r="C160">
        <v>33</v>
      </c>
      <c r="D160" t="s">
        <v>718</v>
      </c>
      <c r="E160" t="s">
        <v>765</v>
      </c>
      <c r="F160" t="s">
        <v>720</v>
      </c>
    </row>
    <row r="161" spans="1:6" x14ac:dyDescent="0.35">
      <c r="A161" t="s">
        <v>58</v>
      </c>
      <c r="B161" t="s">
        <v>905</v>
      </c>
      <c r="C161">
        <v>24</v>
      </c>
      <c r="D161" t="s">
        <v>718</v>
      </c>
      <c r="E161" t="s">
        <v>726</v>
      </c>
      <c r="F161" t="s">
        <v>720</v>
      </c>
    </row>
    <row r="162" spans="1:6" x14ac:dyDescent="0.35">
      <c r="A162" t="s">
        <v>92</v>
      </c>
      <c r="B162" t="s">
        <v>906</v>
      </c>
      <c r="C162">
        <v>32</v>
      </c>
      <c r="D162" t="s">
        <v>725</v>
      </c>
      <c r="E162" t="s">
        <v>719</v>
      </c>
      <c r="F162" t="s">
        <v>731</v>
      </c>
    </row>
    <row r="163" spans="1:6" x14ac:dyDescent="0.35">
      <c r="A163" t="s">
        <v>225</v>
      </c>
      <c r="B163" t="s">
        <v>907</v>
      </c>
      <c r="C163">
        <v>25</v>
      </c>
      <c r="D163" t="s">
        <v>718</v>
      </c>
      <c r="E163" t="s">
        <v>752</v>
      </c>
      <c r="F163" t="s">
        <v>720</v>
      </c>
    </row>
    <row r="164" spans="1:6" x14ac:dyDescent="0.35">
      <c r="A164" t="s">
        <v>908</v>
      </c>
      <c r="B164" t="s">
        <v>909</v>
      </c>
      <c r="C164">
        <v>40</v>
      </c>
      <c r="D164" t="s">
        <v>725</v>
      </c>
      <c r="E164" t="s">
        <v>726</v>
      </c>
      <c r="F164" t="s">
        <v>731</v>
      </c>
    </row>
    <row r="165" spans="1:6" x14ac:dyDescent="0.35">
      <c r="A165" t="s">
        <v>430</v>
      </c>
      <c r="B165" t="s">
        <v>910</v>
      </c>
      <c r="C165">
        <v>35</v>
      </c>
      <c r="D165" t="s">
        <v>725</v>
      </c>
      <c r="E165" t="s">
        <v>722</v>
      </c>
      <c r="F165" t="s">
        <v>720</v>
      </c>
    </row>
    <row r="166" spans="1:6" x14ac:dyDescent="0.35">
      <c r="A166" t="s">
        <v>487</v>
      </c>
      <c r="B166" t="s">
        <v>911</v>
      </c>
      <c r="C166">
        <v>38</v>
      </c>
      <c r="D166" t="s">
        <v>718</v>
      </c>
      <c r="E166" t="s">
        <v>765</v>
      </c>
      <c r="F166" t="s">
        <v>731</v>
      </c>
    </row>
    <row r="167" spans="1:6" x14ac:dyDescent="0.35">
      <c r="A167" t="s">
        <v>352</v>
      </c>
      <c r="B167" t="s">
        <v>912</v>
      </c>
      <c r="C167">
        <v>46</v>
      </c>
      <c r="D167" t="s">
        <v>725</v>
      </c>
      <c r="E167" t="s">
        <v>728</v>
      </c>
      <c r="F167" t="s">
        <v>720</v>
      </c>
    </row>
    <row r="168" spans="1:6" x14ac:dyDescent="0.35">
      <c r="A168" t="s">
        <v>454</v>
      </c>
      <c r="B168" t="s">
        <v>913</v>
      </c>
      <c r="C168">
        <v>39</v>
      </c>
      <c r="D168" t="s">
        <v>725</v>
      </c>
      <c r="E168" t="s">
        <v>726</v>
      </c>
      <c r="F168" t="s">
        <v>731</v>
      </c>
    </row>
    <row r="169" spans="1:6" x14ac:dyDescent="0.35">
      <c r="A169" t="s">
        <v>135</v>
      </c>
      <c r="B169" t="s">
        <v>914</v>
      </c>
      <c r="C169">
        <v>33</v>
      </c>
      <c r="D169" t="s">
        <v>718</v>
      </c>
      <c r="E169" t="s">
        <v>759</v>
      </c>
      <c r="F169" t="s">
        <v>723</v>
      </c>
    </row>
    <row r="170" spans="1:6" x14ac:dyDescent="0.35">
      <c r="A170" t="s">
        <v>19</v>
      </c>
      <c r="B170" t="s">
        <v>915</v>
      </c>
      <c r="C170">
        <v>49</v>
      </c>
      <c r="D170" t="s">
        <v>725</v>
      </c>
      <c r="E170" t="s">
        <v>722</v>
      </c>
      <c r="F170" t="s">
        <v>723</v>
      </c>
    </row>
    <row r="171" spans="1:6" x14ac:dyDescent="0.35">
      <c r="A171" t="s">
        <v>547</v>
      </c>
      <c r="B171" t="s">
        <v>916</v>
      </c>
      <c r="C171">
        <v>28</v>
      </c>
      <c r="D171" t="s">
        <v>718</v>
      </c>
      <c r="E171" t="s">
        <v>747</v>
      </c>
      <c r="F171" t="s">
        <v>731</v>
      </c>
    </row>
    <row r="172" spans="1:6" x14ac:dyDescent="0.35">
      <c r="A172" t="s">
        <v>917</v>
      </c>
      <c r="B172" t="s">
        <v>918</v>
      </c>
      <c r="C172">
        <v>24</v>
      </c>
      <c r="D172" t="s">
        <v>718</v>
      </c>
      <c r="E172" t="s">
        <v>773</v>
      </c>
      <c r="F172" t="s">
        <v>723</v>
      </c>
    </row>
    <row r="173" spans="1:6" x14ac:dyDescent="0.35">
      <c r="A173" t="s">
        <v>919</v>
      </c>
      <c r="B173" t="s">
        <v>920</v>
      </c>
      <c r="C173">
        <v>36</v>
      </c>
      <c r="D173" t="s">
        <v>725</v>
      </c>
      <c r="E173" t="s">
        <v>730</v>
      </c>
      <c r="F173" t="s">
        <v>720</v>
      </c>
    </row>
    <row r="174" spans="1:6" x14ac:dyDescent="0.35">
      <c r="A174" t="s">
        <v>112</v>
      </c>
      <c r="B174" t="s">
        <v>921</v>
      </c>
      <c r="C174">
        <v>39</v>
      </c>
      <c r="D174" t="s">
        <v>718</v>
      </c>
      <c r="E174" t="s">
        <v>738</v>
      </c>
      <c r="F174" t="s">
        <v>723</v>
      </c>
    </row>
    <row r="175" spans="1:6" x14ac:dyDescent="0.35">
      <c r="A175" t="s">
        <v>246</v>
      </c>
      <c r="B175" t="s">
        <v>922</v>
      </c>
      <c r="C175">
        <v>40</v>
      </c>
      <c r="D175" t="s">
        <v>725</v>
      </c>
      <c r="E175" t="s">
        <v>773</v>
      </c>
      <c r="F175" t="s">
        <v>731</v>
      </c>
    </row>
    <row r="176" spans="1:6" x14ac:dyDescent="0.35">
      <c r="A176" t="s">
        <v>227</v>
      </c>
      <c r="B176" t="s">
        <v>923</v>
      </c>
      <c r="C176">
        <v>33</v>
      </c>
      <c r="D176" t="s">
        <v>718</v>
      </c>
      <c r="E176" t="s">
        <v>770</v>
      </c>
      <c r="F176" t="s">
        <v>720</v>
      </c>
    </row>
    <row r="177" spans="1:6" x14ac:dyDescent="0.35">
      <c r="A177" t="s">
        <v>194</v>
      </c>
      <c r="B177" t="s">
        <v>924</v>
      </c>
      <c r="C177">
        <v>34</v>
      </c>
      <c r="D177" t="s">
        <v>718</v>
      </c>
      <c r="E177" t="s">
        <v>730</v>
      </c>
      <c r="F177" t="s">
        <v>731</v>
      </c>
    </row>
    <row r="178" spans="1:6" x14ac:dyDescent="0.35">
      <c r="A178" t="s">
        <v>380</v>
      </c>
      <c r="B178" t="s">
        <v>925</v>
      </c>
      <c r="C178">
        <v>39</v>
      </c>
      <c r="D178" t="s">
        <v>725</v>
      </c>
      <c r="E178" t="s">
        <v>773</v>
      </c>
      <c r="F178" t="s">
        <v>720</v>
      </c>
    </row>
    <row r="179" spans="1:6" x14ac:dyDescent="0.35">
      <c r="A179" t="s">
        <v>299</v>
      </c>
      <c r="B179" t="s">
        <v>926</v>
      </c>
      <c r="C179">
        <v>24</v>
      </c>
      <c r="D179" t="s">
        <v>725</v>
      </c>
      <c r="E179" t="s">
        <v>759</v>
      </c>
      <c r="F179" t="s">
        <v>720</v>
      </c>
    </row>
    <row r="180" spans="1:6" x14ac:dyDescent="0.35">
      <c r="A180" t="s">
        <v>151</v>
      </c>
      <c r="B180" t="s">
        <v>927</v>
      </c>
      <c r="C180">
        <v>30</v>
      </c>
      <c r="D180" t="s">
        <v>718</v>
      </c>
      <c r="E180" t="s">
        <v>734</v>
      </c>
      <c r="F180" t="s">
        <v>731</v>
      </c>
    </row>
    <row r="181" spans="1:6" x14ac:dyDescent="0.35">
      <c r="A181" t="s">
        <v>928</v>
      </c>
      <c r="B181" t="s">
        <v>929</v>
      </c>
      <c r="C181">
        <v>24</v>
      </c>
      <c r="D181" t="s">
        <v>725</v>
      </c>
      <c r="E181" t="s">
        <v>770</v>
      </c>
      <c r="F181" t="s">
        <v>731</v>
      </c>
    </row>
    <row r="182" spans="1:6" x14ac:dyDescent="0.35">
      <c r="A182" t="s">
        <v>449</v>
      </c>
      <c r="B182" t="s">
        <v>930</v>
      </c>
      <c r="C182">
        <v>35</v>
      </c>
      <c r="D182" t="s">
        <v>718</v>
      </c>
      <c r="E182" t="s">
        <v>738</v>
      </c>
      <c r="F182" t="s">
        <v>731</v>
      </c>
    </row>
    <row r="183" spans="1:6" x14ac:dyDescent="0.35">
      <c r="A183" t="s">
        <v>131</v>
      </c>
      <c r="B183" t="s">
        <v>931</v>
      </c>
      <c r="C183">
        <v>41</v>
      </c>
      <c r="D183" t="s">
        <v>725</v>
      </c>
      <c r="E183" t="s">
        <v>728</v>
      </c>
      <c r="F183" t="s">
        <v>720</v>
      </c>
    </row>
    <row r="184" spans="1:6" x14ac:dyDescent="0.35">
      <c r="A184" t="s">
        <v>324</v>
      </c>
      <c r="B184" t="s">
        <v>932</v>
      </c>
      <c r="C184">
        <v>31</v>
      </c>
      <c r="D184" t="s">
        <v>718</v>
      </c>
      <c r="E184" t="s">
        <v>757</v>
      </c>
      <c r="F184" t="s">
        <v>731</v>
      </c>
    </row>
    <row r="185" spans="1:6" x14ac:dyDescent="0.35">
      <c r="A185" t="s">
        <v>163</v>
      </c>
      <c r="B185" t="s">
        <v>933</v>
      </c>
      <c r="C185">
        <v>21</v>
      </c>
      <c r="D185" t="s">
        <v>725</v>
      </c>
      <c r="E185" t="s">
        <v>738</v>
      </c>
      <c r="F185" t="s">
        <v>731</v>
      </c>
    </row>
    <row r="186" spans="1:6" x14ac:dyDescent="0.35">
      <c r="A186" t="s">
        <v>212</v>
      </c>
      <c r="B186" t="s">
        <v>934</v>
      </c>
      <c r="C186">
        <v>33</v>
      </c>
      <c r="D186" t="s">
        <v>725</v>
      </c>
      <c r="E186" t="s">
        <v>773</v>
      </c>
      <c r="F186" t="s">
        <v>720</v>
      </c>
    </row>
    <row r="187" spans="1:6" x14ac:dyDescent="0.35">
      <c r="A187" t="s">
        <v>100</v>
      </c>
      <c r="B187" t="s">
        <v>935</v>
      </c>
      <c r="C187">
        <v>33</v>
      </c>
      <c r="D187" t="s">
        <v>718</v>
      </c>
      <c r="E187" t="s">
        <v>747</v>
      </c>
      <c r="F187" t="s">
        <v>720</v>
      </c>
    </row>
    <row r="188" spans="1:6" x14ac:dyDescent="0.35">
      <c r="A188" t="s">
        <v>344</v>
      </c>
      <c r="B188" t="s">
        <v>936</v>
      </c>
      <c r="C188">
        <v>28</v>
      </c>
      <c r="D188" t="s">
        <v>725</v>
      </c>
      <c r="E188" t="s">
        <v>785</v>
      </c>
      <c r="F188" t="s">
        <v>731</v>
      </c>
    </row>
    <row r="189" spans="1:6" x14ac:dyDescent="0.35">
      <c r="A189" t="s">
        <v>459</v>
      </c>
      <c r="B189" t="s">
        <v>937</v>
      </c>
      <c r="C189">
        <v>28</v>
      </c>
      <c r="D189" t="s">
        <v>718</v>
      </c>
      <c r="E189" t="s">
        <v>730</v>
      </c>
      <c r="F189" t="s">
        <v>731</v>
      </c>
    </row>
    <row r="190" spans="1:6" x14ac:dyDescent="0.35">
      <c r="A190" t="s">
        <v>273</v>
      </c>
      <c r="B190" t="s">
        <v>938</v>
      </c>
      <c r="C190">
        <v>40</v>
      </c>
      <c r="D190" t="s">
        <v>725</v>
      </c>
      <c r="E190" t="s">
        <v>726</v>
      </c>
      <c r="F190" t="s">
        <v>723</v>
      </c>
    </row>
    <row r="191" spans="1:6" x14ac:dyDescent="0.35">
      <c r="A191" t="s">
        <v>369</v>
      </c>
      <c r="B191" t="s">
        <v>939</v>
      </c>
      <c r="C191">
        <v>42</v>
      </c>
      <c r="D191" t="s">
        <v>718</v>
      </c>
      <c r="E191" t="s">
        <v>722</v>
      </c>
      <c r="F191" t="s">
        <v>731</v>
      </c>
    </row>
    <row r="192" spans="1:6" x14ac:dyDescent="0.35">
      <c r="A192" t="s">
        <v>275</v>
      </c>
      <c r="B192" t="s">
        <v>940</v>
      </c>
      <c r="C192">
        <v>35</v>
      </c>
      <c r="D192" t="s">
        <v>718</v>
      </c>
      <c r="E192" t="s">
        <v>734</v>
      </c>
      <c r="F192" t="s">
        <v>731</v>
      </c>
    </row>
    <row r="193" spans="1:6" x14ac:dyDescent="0.35">
      <c r="A193" t="s">
        <v>51</v>
      </c>
      <c r="B193" t="s">
        <v>941</v>
      </c>
      <c r="C193">
        <v>26</v>
      </c>
      <c r="D193" t="s">
        <v>725</v>
      </c>
      <c r="E193" t="s">
        <v>785</v>
      </c>
      <c r="F193" t="s">
        <v>723</v>
      </c>
    </row>
    <row r="194" spans="1:6" x14ac:dyDescent="0.35">
      <c r="A194" t="s">
        <v>942</v>
      </c>
      <c r="B194" t="s">
        <v>943</v>
      </c>
      <c r="C194">
        <v>41</v>
      </c>
      <c r="D194" t="s">
        <v>718</v>
      </c>
      <c r="E194" t="s">
        <v>773</v>
      </c>
      <c r="F194" t="s">
        <v>720</v>
      </c>
    </row>
    <row r="195" spans="1:6" x14ac:dyDescent="0.35">
      <c r="A195" t="s">
        <v>249</v>
      </c>
      <c r="B195" t="s">
        <v>944</v>
      </c>
      <c r="C195">
        <v>29</v>
      </c>
      <c r="D195" t="s">
        <v>725</v>
      </c>
      <c r="E195" t="s">
        <v>747</v>
      </c>
      <c r="F195" t="s">
        <v>720</v>
      </c>
    </row>
    <row r="196" spans="1:6" x14ac:dyDescent="0.35">
      <c r="A196" t="s">
        <v>39</v>
      </c>
      <c r="B196" t="s">
        <v>945</v>
      </c>
      <c r="C196">
        <v>35</v>
      </c>
      <c r="D196" t="s">
        <v>718</v>
      </c>
      <c r="E196" t="s">
        <v>759</v>
      </c>
      <c r="F196" t="s">
        <v>731</v>
      </c>
    </row>
    <row r="197" spans="1:6" x14ac:dyDescent="0.35">
      <c r="A197" t="s">
        <v>165</v>
      </c>
      <c r="B197" t="s">
        <v>946</v>
      </c>
      <c r="C197">
        <v>52</v>
      </c>
      <c r="D197" t="s">
        <v>725</v>
      </c>
      <c r="E197" t="s">
        <v>730</v>
      </c>
      <c r="F197" t="s">
        <v>731</v>
      </c>
    </row>
    <row r="198" spans="1:6" x14ac:dyDescent="0.35">
      <c r="A198" t="s">
        <v>362</v>
      </c>
      <c r="B198" t="s">
        <v>947</v>
      </c>
      <c r="C198">
        <v>35</v>
      </c>
      <c r="D198" t="s">
        <v>725</v>
      </c>
      <c r="E198" t="s">
        <v>770</v>
      </c>
      <c r="F198" t="s">
        <v>731</v>
      </c>
    </row>
    <row r="199" spans="1:6" x14ac:dyDescent="0.35">
      <c r="A199" t="s">
        <v>81</v>
      </c>
      <c r="B199" t="s">
        <v>948</v>
      </c>
      <c r="C199">
        <v>46</v>
      </c>
      <c r="D199" t="s">
        <v>725</v>
      </c>
      <c r="E199" t="s">
        <v>730</v>
      </c>
      <c r="F199" t="s">
        <v>720</v>
      </c>
    </row>
    <row r="200" spans="1:6" x14ac:dyDescent="0.35">
      <c r="A200" t="s">
        <v>949</v>
      </c>
      <c r="B200" t="s">
        <v>950</v>
      </c>
      <c r="C200">
        <v>44</v>
      </c>
      <c r="D200" t="s">
        <v>725</v>
      </c>
      <c r="E200" t="s">
        <v>730</v>
      </c>
      <c r="F200" t="s">
        <v>720</v>
      </c>
    </row>
    <row r="201" spans="1:6" x14ac:dyDescent="0.35">
      <c r="A201" t="s">
        <v>41</v>
      </c>
      <c r="B201" t="s">
        <v>951</v>
      </c>
      <c r="C201">
        <v>41</v>
      </c>
      <c r="D201" t="s">
        <v>725</v>
      </c>
      <c r="E201" t="s">
        <v>726</v>
      </c>
      <c r="F201" t="s">
        <v>723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2"/>
  <sheetViews>
    <sheetView workbookViewId="0">
      <selection activeCell="G5" sqref="G5"/>
    </sheetView>
  </sheetViews>
  <sheetFormatPr defaultRowHeight="14.5" x14ac:dyDescent="0.35"/>
  <cols>
    <col min="1" max="1" width="11.90625" customWidth="1"/>
    <col min="2" max="2" width="14" customWidth="1"/>
    <col min="3" max="4" width="9.453125" bestFit="1" customWidth="1"/>
  </cols>
  <sheetData>
    <row r="1" spans="1:4" x14ac:dyDescent="0.35">
      <c r="A1" t="s">
        <v>952</v>
      </c>
      <c r="B1" t="s">
        <v>953</v>
      </c>
      <c r="C1" t="s">
        <v>954</v>
      </c>
      <c r="D1" t="s">
        <v>955</v>
      </c>
    </row>
    <row r="2" spans="1:4" x14ac:dyDescent="0.35">
      <c r="A2" s="1">
        <v>45627</v>
      </c>
      <c r="B2" s="1" t="str">
        <f>TEXT(DimDate[[#This Row],[FullDate]],"MMMM")</f>
        <v>December</v>
      </c>
      <c r="C2" s="1">
        <f>MONTH(DimDate[[#This Row],[FullDate]])</f>
        <v>12</v>
      </c>
      <c r="D2" s="1">
        <f>YEAR(DimDate[[#This Row],[FullDate]])</f>
        <v>2024</v>
      </c>
    </row>
    <row r="3" spans="1:4" x14ac:dyDescent="0.35">
      <c r="A3" s="1">
        <v>45628</v>
      </c>
      <c r="B3" s="1" t="str">
        <f>TEXT(DimDate[[#This Row],[FullDate]],"MMMM")</f>
        <v>December</v>
      </c>
      <c r="C3" s="1">
        <f>MONTH(DimDate[[#This Row],[FullDate]])</f>
        <v>12</v>
      </c>
      <c r="D3" s="1">
        <f>YEAR(DimDate[[#This Row],[FullDate]])</f>
        <v>2024</v>
      </c>
    </row>
    <row r="4" spans="1:4" x14ac:dyDescent="0.35">
      <c r="A4" s="1">
        <v>45629</v>
      </c>
      <c r="B4" s="1" t="str">
        <f>TEXT(DimDate[[#This Row],[FullDate]],"MMMM")</f>
        <v>December</v>
      </c>
      <c r="C4" s="1">
        <f>MONTH(DimDate[[#This Row],[FullDate]])</f>
        <v>12</v>
      </c>
      <c r="D4" s="1">
        <f>YEAR(DimDate[[#This Row],[FullDate]])</f>
        <v>2024</v>
      </c>
    </row>
    <row r="5" spans="1:4" x14ac:dyDescent="0.35">
      <c r="A5" s="1">
        <v>45630</v>
      </c>
      <c r="B5" s="1" t="str">
        <f>TEXT(DimDate[[#This Row],[FullDate]],"MMMM")</f>
        <v>December</v>
      </c>
      <c r="C5" s="1">
        <f>MONTH(DimDate[[#This Row],[FullDate]])</f>
        <v>12</v>
      </c>
      <c r="D5" s="1">
        <f>YEAR(DimDate[[#This Row],[FullDate]])</f>
        <v>2024</v>
      </c>
    </row>
    <row r="6" spans="1:4" x14ac:dyDescent="0.35">
      <c r="A6" s="1">
        <v>45631</v>
      </c>
      <c r="B6" s="1" t="str">
        <f>TEXT(DimDate[[#This Row],[FullDate]],"MMMM")</f>
        <v>December</v>
      </c>
      <c r="C6" s="1">
        <f>MONTH(DimDate[[#This Row],[FullDate]])</f>
        <v>12</v>
      </c>
      <c r="D6" s="1">
        <f>YEAR(DimDate[[#This Row],[FullDate]])</f>
        <v>2024</v>
      </c>
    </row>
    <row r="7" spans="1:4" x14ac:dyDescent="0.35">
      <c r="A7" s="1">
        <v>45632</v>
      </c>
      <c r="B7" s="1" t="str">
        <f>TEXT(DimDate[[#This Row],[FullDate]],"MMMM")</f>
        <v>December</v>
      </c>
      <c r="C7" s="1">
        <f>MONTH(DimDate[[#This Row],[FullDate]])</f>
        <v>12</v>
      </c>
      <c r="D7" s="1">
        <f>YEAR(DimDate[[#This Row],[FullDate]])</f>
        <v>2024</v>
      </c>
    </row>
    <row r="8" spans="1:4" x14ac:dyDescent="0.35">
      <c r="A8" s="1">
        <v>45633</v>
      </c>
      <c r="B8" s="1" t="str">
        <f>TEXT(DimDate[[#This Row],[FullDate]],"MMMM")</f>
        <v>December</v>
      </c>
      <c r="C8" s="1">
        <f>MONTH(DimDate[[#This Row],[FullDate]])</f>
        <v>12</v>
      </c>
      <c r="D8" s="1">
        <f>YEAR(DimDate[[#This Row],[FullDate]])</f>
        <v>2024</v>
      </c>
    </row>
    <row r="9" spans="1:4" x14ac:dyDescent="0.35">
      <c r="A9" s="1">
        <v>45634</v>
      </c>
      <c r="B9" s="1" t="str">
        <f>TEXT(DimDate[[#This Row],[FullDate]],"MMMM")</f>
        <v>December</v>
      </c>
      <c r="C9" s="1">
        <f>MONTH(DimDate[[#This Row],[FullDate]])</f>
        <v>12</v>
      </c>
      <c r="D9" s="1">
        <f>YEAR(DimDate[[#This Row],[FullDate]])</f>
        <v>2024</v>
      </c>
    </row>
    <row r="10" spans="1:4" x14ac:dyDescent="0.35">
      <c r="A10" s="1">
        <v>45635</v>
      </c>
      <c r="B10" s="1" t="str">
        <f>TEXT(DimDate[[#This Row],[FullDate]],"MMMM")</f>
        <v>December</v>
      </c>
      <c r="C10" s="1">
        <f>MONTH(DimDate[[#This Row],[FullDate]])</f>
        <v>12</v>
      </c>
      <c r="D10" s="1">
        <f>YEAR(DimDate[[#This Row],[FullDate]])</f>
        <v>2024</v>
      </c>
    </row>
    <row r="11" spans="1:4" x14ac:dyDescent="0.35">
      <c r="A11" s="1">
        <v>45636</v>
      </c>
      <c r="B11" s="1" t="str">
        <f>TEXT(DimDate[[#This Row],[FullDate]],"MMMM")</f>
        <v>December</v>
      </c>
      <c r="C11" s="1">
        <f>MONTH(DimDate[[#This Row],[FullDate]])</f>
        <v>12</v>
      </c>
      <c r="D11" s="1">
        <f>YEAR(DimDate[[#This Row],[FullDate]])</f>
        <v>2024</v>
      </c>
    </row>
    <row r="12" spans="1:4" x14ac:dyDescent="0.35">
      <c r="A12" s="1">
        <v>45637</v>
      </c>
      <c r="B12" s="1" t="str">
        <f>TEXT(DimDate[[#This Row],[FullDate]],"MMMM")</f>
        <v>December</v>
      </c>
      <c r="C12" s="1">
        <f>MONTH(DimDate[[#This Row],[FullDate]])</f>
        <v>12</v>
      </c>
      <c r="D12" s="1">
        <f>YEAR(DimDate[[#This Row],[FullDate]])</f>
        <v>2024</v>
      </c>
    </row>
    <row r="13" spans="1:4" x14ac:dyDescent="0.35">
      <c r="A13" s="1">
        <v>45638</v>
      </c>
      <c r="B13" s="1" t="str">
        <f>TEXT(DimDate[[#This Row],[FullDate]],"MMMM")</f>
        <v>December</v>
      </c>
      <c r="C13" s="1">
        <f>MONTH(DimDate[[#This Row],[FullDate]])</f>
        <v>12</v>
      </c>
      <c r="D13" s="1">
        <f>YEAR(DimDate[[#This Row],[FullDate]])</f>
        <v>2024</v>
      </c>
    </row>
    <row r="14" spans="1:4" x14ac:dyDescent="0.35">
      <c r="A14" s="1">
        <v>45639</v>
      </c>
      <c r="B14" s="1" t="str">
        <f>TEXT(DimDate[[#This Row],[FullDate]],"MMMM")</f>
        <v>December</v>
      </c>
      <c r="C14" s="1">
        <f>MONTH(DimDate[[#This Row],[FullDate]])</f>
        <v>12</v>
      </c>
      <c r="D14" s="1">
        <f>YEAR(DimDate[[#This Row],[FullDate]])</f>
        <v>2024</v>
      </c>
    </row>
    <row r="15" spans="1:4" x14ac:dyDescent="0.35">
      <c r="A15" s="1">
        <v>45640</v>
      </c>
      <c r="B15" s="1" t="str">
        <f>TEXT(DimDate[[#This Row],[FullDate]],"MMMM")</f>
        <v>December</v>
      </c>
      <c r="C15" s="1">
        <f>MONTH(DimDate[[#This Row],[FullDate]])</f>
        <v>12</v>
      </c>
      <c r="D15" s="1">
        <f>YEAR(DimDate[[#This Row],[FullDate]])</f>
        <v>2024</v>
      </c>
    </row>
    <row r="16" spans="1:4" x14ac:dyDescent="0.35">
      <c r="A16" s="1">
        <v>45641</v>
      </c>
      <c r="B16" s="1" t="str">
        <f>TEXT(DimDate[[#This Row],[FullDate]],"MMMM")</f>
        <v>December</v>
      </c>
      <c r="C16" s="1">
        <f>MONTH(DimDate[[#This Row],[FullDate]])</f>
        <v>12</v>
      </c>
      <c r="D16" s="1">
        <f>YEAR(DimDate[[#This Row],[FullDate]])</f>
        <v>2024</v>
      </c>
    </row>
    <row r="17" spans="1:4" x14ac:dyDescent="0.35">
      <c r="A17" s="1">
        <v>45642</v>
      </c>
      <c r="B17" s="1" t="str">
        <f>TEXT(DimDate[[#This Row],[FullDate]],"MMMM")</f>
        <v>December</v>
      </c>
      <c r="C17" s="1">
        <f>MONTH(DimDate[[#This Row],[FullDate]])</f>
        <v>12</v>
      </c>
      <c r="D17" s="1">
        <f>YEAR(DimDate[[#This Row],[FullDate]])</f>
        <v>2024</v>
      </c>
    </row>
    <row r="18" spans="1:4" x14ac:dyDescent="0.35">
      <c r="A18" s="1">
        <v>45643</v>
      </c>
      <c r="B18" s="1" t="str">
        <f>TEXT(DimDate[[#This Row],[FullDate]],"MMMM")</f>
        <v>December</v>
      </c>
      <c r="C18" s="1">
        <f>MONTH(DimDate[[#This Row],[FullDate]])</f>
        <v>12</v>
      </c>
      <c r="D18" s="1">
        <f>YEAR(DimDate[[#This Row],[FullDate]])</f>
        <v>2024</v>
      </c>
    </row>
    <row r="19" spans="1:4" x14ac:dyDescent="0.35">
      <c r="A19" s="1">
        <v>45644</v>
      </c>
      <c r="B19" s="1" t="str">
        <f>TEXT(DimDate[[#This Row],[FullDate]],"MMMM")</f>
        <v>December</v>
      </c>
      <c r="C19" s="1">
        <f>MONTH(DimDate[[#This Row],[FullDate]])</f>
        <v>12</v>
      </c>
      <c r="D19" s="1">
        <f>YEAR(DimDate[[#This Row],[FullDate]])</f>
        <v>2024</v>
      </c>
    </row>
    <row r="20" spans="1:4" x14ac:dyDescent="0.35">
      <c r="A20" s="1">
        <v>45645</v>
      </c>
      <c r="B20" s="1" t="str">
        <f>TEXT(DimDate[[#This Row],[FullDate]],"MMMM")</f>
        <v>December</v>
      </c>
      <c r="C20" s="1">
        <f>MONTH(DimDate[[#This Row],[FullDate]])</f>
        <v>12</v>
      </c>
      <c r="D20" s="1">
        <f>YEAR(DimDate[[#This Row],[FullDate]])</f>
        <v>2024</v>
      </c>
    </row>
    <row r="21" spans="1:4" x14ac:dyDescent="0.35">
      <c r="A21" s="1">
        <v>45646</v>
      </c>
      <c r="B21" s="1" t="str">
        <f>TEXT(DimDate[[#This Row],[FullDate]],"MMMM")</f>
        <v>December</v>
      </c>
      <c r="C21" s="1">
        <f>MONTH(DimDate[[#This Row],[FullDate]])</f>
        <v>12</v>
      </c>
      <c r="D21" s="1">
        <f>YEAR(DimDate[[#This Row],[FullDate]])</f>
        <v>2024</v>
      </c>
    </row>
    <row r="22" spans="1:4" x14ac:dyDescent="0.35">
      <c r="A22" s="1">
        <v>45647</v>
      </c>
      <c r="B22" s="1" t="str">
        <f>TEXT(DimDate[[#This Row],[FullDate]],"MMMM")</f>
        <v>December</v>
      </c>
      <c r="C22" s="1">
        <f>MONTH(DimDate[[#This Row],[FullDate]])</f>
        <v>12</v>
      </c>
      <c r="D22" s="1">
        <f>YEAR(DimDate[[#This Row],[FullDate]])</f>
        <v>2024</v>
      </c>
    </row>
    <row r="23" spans="1:4" x14ac:dyDescent="0.35">
      <c r="A23" s="1">
        <v>45648</v>
      </c>
      <c r="B23" s="1" t="str">
        <f>TEXT(DimDate[[#This Row],[FullDate]],"MMMM")</f>
        <v>December</v>
      </c>
      <c r="C23" s="1">
        <f>MONTH(DimDate[[#This Row],[FullDate]])</f>
        <v>12</v>
      </c>
      <c r="D23" s="1">
        <f>YEAR(DimDate[[#This Row],[FullDate]])</f>
        <v>2024</v>
      </c>
    </row>
    <row r="24" spans="1:4" x14ac:dyDescent="0.35">
      <c r="A24" s="1">
        <v>45649</v>
      </c>
      <c r="B24" s="1" t="str">
        <f>TEXT(DimDate[[#This Row],[FullDate]],"MMMM")</f>
        <v>December</v>
      </c>
      <c r="C24" s="1">
        <f>MONTH(DimDate[[#This Row],[FullDate]])</f>
        <v>12</v>
      </c>
      <c r="D24" s="1">
        <f>YEAR(DimDate[[#This Row],[FullDate]])</f>
        <v>2024</v>
      </c>
    </row>
    <row r="25" spans="1:4" x14ac:dyDescent="0.35">
      <c r="A25" s="1">
        <v>45650</v>
      </c>
      <c r="B25" s="1" t="str">
        <f>TEXT(DimDate[[#This Row],[FullDate]],"MMMM")</f>
        <v>December</v>
      </c>
      <c r="C25" s="1">
        <f>MONTH(DimDate[[#This Row],[FullDate]])</f>
        <v>12</v>
      </c>
      <c r="D25" s="1">
        <f>YEAR(DimDate[[#This Row],[FullDate]])</f>
        <v>2024</v>
      </c>
    </row>
    <row r="26" spans="1:4" x14ac:dyDescent="0.35">
      <c r="A26" s="1">
        <v>45651</v>
      </c>
      <c r="B26" s="1" t="str">
        <f>TEXT(DimDate[[#This Row],[FullDate]],"MMMM")</f>
        <v>December</v>
      </c>
      <c r="C26" s="1">
        <f>MONTH(DimDate[[#This Row],[FullDate]])</f>
        <v>12</v>
      </c>
      <c r="D26" s="1">
        <f>YEAR(DimDate[[#This Row],[FullDate]])</f>
        <v>2024</v>
      </c>
    </row>
    <row r="27" spans="1:4" x14ac:dyDescent="0.35">
      <c r="A27" s="1">
        <v>45652</v>
      </c>
      <c r="B27" s="1" t="str">
        <f>TEXT(DimDate[[#This Row],[FullDate]],"MMMM")</f>
        <v>December</v>
      </c>
      <c r="C27" s="1">
        <f>MONTH(DimDate[[#This Row],[FullDate]])</f>
        <v>12</v>
      </c>
      <c r="D27" s="1">
        <f>YEAR(DimDate[[#This Row],[FullDate]])</f>
        <v>2024</v>
      </c>
    </row>
    <row r="28" spans="1:4" x14ac:dyDescent="0.35">
      <c r="A28" s="1">
        <v>45653</v>
      </c>
      <c r="B28" s="1" t="str">
        <f>TEXT(DimDate[[#This Row],[FullDate]],"MMMM")</f>
        <v>December</v>
      </c>
      <c r="C28" s="1">
        <f>MONTH(DimDate[[#This Row],[FullDate]])</f>
        <v>12</v>
      </c>
      <c r="D28" s="1">
        <f>YEAR(DimDate[[#This Row],[FullDate]])</f>
        <v>2024</v>
      </c>
    </row>
    <row r="29" spans="1:4" x14ac:dyDescent="0.35">
      <c r="A29" s="1">
        <v>45654</v>
      </c>
      <c r="B29" s="1" t="str">
        <f>TEXT(DimDate[[#This Row],[FullDate]],"MMMM")</f>
        <v>December</v>
      </c>
      <c r="C29" s="1">
        <f>MONTH(DimDate[[#This Row],[FullDate]])</f>
        <v>12</v>
      </c>
      <c r="D29" s="1">
        <f>YEAR(DimDate[[#This Row],[FullDate]])</f>
        <v>2024</v>
      </c>
    </row>
    <row r="30" spans="1:4" x14ac:dyDescent="0.35">
      <c r="A30" s="1">
        <v>45655</v>
      </c>
      <c r="B30" s="1" t="str">
        <f>TEXT(DimDate[[#This Row],[FullDate]],"MMMM")</f>
        <v>December</v>
      </c>
      <c r="C30" s="1">
        <f>MONTH(DimDate[[#This Row],[FullDate]])</f>
        <v>12</v>
      </c>
      <c r="D30" s="1">
        <f>YEAR(DimDate[[#This Row],[FullDate]])</f>
        <v>2024</v>
      </c>
    </row>
    <row r="31" spans="1:4" x14ac:dyDescent="0.35">
      <c r="A31" s="1">
        <v>45656</v>
      </c>
      <c r="B31" s="1" t="str">
        <f>TEXT(DimDate[[#This Row],[FullDate]],"MMMM")</f>
        <v>December</v>
      </c>
      <c r="C31" s="1">
        <f>MONTH(DimDate[[#This Row],[FullDate]])</f>
        <v>12</v>
      </c>
      <c r="D31" s="1">
        <f>YEAR(DimDate[[#This Row],[FullDate]])</f>
        <v>2024</v>
      </c>
    </row>
    <row r="32" spans="1:4" x14ac:dyDescent="0.35">
      <c r="A32" s="1">
        <v>45657</v>
      </c>
      <c r="B32" s="1" t="str">
        <f>TEXT(DimDate[[#This Row],[FullDate]],"MMMM")</f>
        <v>December</v>
      </c>
      <c r="C32" s="1">
        <f>MONTH(DimDate[[#This Row],[FullDate]])</f>
        <v>12</v>
      </c>
      <c r="D32" s="1">
        <f>YEAR(DimDate[[#This Row],[FullDate]])</f>
        <v>2024</v>
      </c>
    </row>
    <row r="33" spans="1:4" x14ac:dyDescent="0.35">
      <c r="A33" s="1">
        <v>45658</v>
      </c>
      <c r="B33" s="1" t="str">
        <f>TEXT(DimDate[[#This Row],[FullDate]],"MMMM")</f>
        <v>January</v>
      </c>
      <c r="C33" s="1">
        <f>MONTH(DimDate[[#This Row],[FullDate]])</f>
        <v>1</v>
      </c>
      <c r="D33" s="1">
        <f>YEAR(DimDate[[#This Row],[FullDate]])</f>
        <v>2025</v>
      </c>
    </row>
    <row r="34" spans="1:4" x14ac:dyDescent="0.35">
      <c r="A34" s="1">
        <v>45659</v>
      </c>
      <c r="B34" s="1" t="str">
        <f>TEXT(DimDate[[#This Row],[FullDate]],"MMMM")</f>
        <v>January</v>
      </c>
      <c r="C34" s="1">
        <f>MONTH(DimDate[[#This Row],[FullDate]])</f>
        <v>1</v>
      </c>
      <c r="D34" s="1">
        <f>YEAR(DimDate[[#This Row],[FullDate]])</f>
        <v>2025</v>
      </c>
    </row>
    <row r="35" spans="1:4" x14ac:dyDescent="0.35">
      <c r="A35" s="1">
        <v>45660</v>
      </c>
      <c r="B35" s="1" t="str">
        <f>TEXT(DimDate[[#This Row],[FullDate]],"MMMM")</f>
        <v>January</v>
      </c>
      <c r="C35" s="1">
        <f>MONTH(DimDate[[#This Row],[FullDate]])</f>
        <v>1</v>
      </c>
      <c r="D35" s="1">
        <f>YEAR(DimDate[[#This Row],[FullDate]])</f>
        <v>2025</v>
      </c>
    </row>
    <row r="36" spans="1:4" x14ac:dyDescent="0.35">
      <c r="A36" s="1">
        <v>45661</v>
      </c>
      <c r="B36" s="1" t="str">
        <f>TEXT(DimDate[[#This Row],[FullDate]],"MMMM")</f>
        <v>January</v>
      </c>
      <c r="C36" s="1">
        <f>MONTH(DimDate[[#This Row],[FullDate]])</f>
        <v>1</v>
      </c>
      <c r="D36" s="1">
        <f>YEAR(DimDate[[#This Row],[FullDate]])</f>
        <v>2025</v>
      </c>
    </row>
    <row r="37" spans="1:4" x14ac:dyDescent="0.35">
      <c r="A37" s="1">
        <v>45662</v>
      </c>
      <c r="B37" s="1" t="str">
        <f>TEXT(DimDate[[#This Row],[FullDate]],"MMMM")</f>
        <v>January</v>
      </c>
      <c r="C37" s="1">
        <f>MONTH(DimDate[[#This Row],[FullDate]])</f>
        <v>1</v>
      </c>
      <c r="D37" s="1">
        <f>YEAR(DimDate[[#This Row],[FullDate]])</f>
        <v>2025</v>
      </c>
    </row>
    <row r="38" spans="1:4" x14ac:dyDescent="0.35">
      <c r="A38" s="1">
        <v>45663</v>
      </c>
      <c r="B38" s="1" t="str">
        <f>TEXT(DimDate[[#This Row],[FullDate]],"MMMM")</f>
        <v>January</v>
      </c>
      <c r="C38" s="1">
        <f>MONTH(DimDate[[#This Row],[FullDate]])</f>
        <v>1</v>
      </c>
      <c r="D38" s="1">
        <f>YEAR(DimDate[[#This Row],[FullDate]])</f>
        <v>2025</v>
      </c>
    </row>
    <row r="39" spans="1:4" x14ac:dyDescent="0.35">
      <c r="A39" s="1">
        <v>45664</v>
      </c>
      <c r="B39" s="1" t="str">
        <f>TEXT(DimDate[[#This Row],[FullDate]],"MMMM")</f>
        <v>January</v>
      </c>
      <c r="C39" s="1">
        <f>MONTH(DimDate[[#This Row],[FullDate]])</f>
        <v>1</v>
      </c>
      <c r="D39" s="1">
        <f>YEAR(DimDate[[#This Row],[FullDate]])</f>
        <v>2025</v>
      </c>
    </row>
    <row r="40" spans="1:4" x14ac:dyDescent="0.35">
      <c r="A40" s="1">
        <v>45665</v>
      </c>
      <c r="B40" s="1" t="str">
        <f>TEXT(DimDate[[#This Row],[FullDate]],"MMMM")</f>
        <v>January</v>
      </c>
      <c r="C40" s="1">
        <f>MONTH(DimDate[[#This Row],[FullDate]])</f>
        <v>1</v>
      </c>
      <c r="D40" s="1">
        <f>YEAR(DimDate[[#This Row],[FullDate]])</f>
        <v>2025</v>
      </c>
    </row>
    <row r="41" spans="1:4" x14ac:dyDescent="0.35">
      <c r="A41" s="1">
        <v>45666</v>
      </c>
      <c r="B41" s="1" t="str">
        <f>TEXT(DimDate[[#This Row],[FullDate]],"MMMM")</f>
        <v>January</v>
      </c>
      <c r="C41" s="1">
        <f>MONTH(DimDate[[#This Row],[FullDate]])</f>
        <v>1</v>
      </c>
      <c r="D41" s="1">
        <f>YEAR(DimDate[[#This Row],[FullDate]])</f>
        <v>2025</v>
      </c>
    </row>
    <row r="42" spans="1:4" x14ac:dyDescent="0.35">
      <c r="A42" s="1">
        <v>45667</v>
      </c>
      <c r="B42" s="1" t="str">
        <f>TEXT(DimDate[[#This Row],[FullDate]],"MMMM")</f>
        <v>January</v>
      </c>
      <c r="C42" s="1">
        <f>MONTH(DimDate[[#This Row],[FullDate]])</f>
        <v>1</v>
      </c>
      <c r="D42" s="1">
        <f>YEAR(DimDate[[#This Row],[FullDate]])</f>
        <v>2025</v>
      </c>
    </row>
    <row r="43" spans="1:4" x14ac:dyDescent="0.35">
      <c r="A43" s="1">
        <v>45668</v>
      </c>
      <c r="B43" s="1" t="str">
        <f>TEXT(DimDate[[#This Row],[FullDate]],"MMMM")</f>
        <v>January</v>
      </c>
      <c r="C43" s="1">
        <f>MONTH(DimDate[[#This Row],[FullDate]])</f>
        <v>1</v>
      </c>
      <c r="D43" s="1">
        <f>YEAR(DimDate[[#This Row],[FullDate]])</f>
        <v>2025</v>
      </c>
    </row>
    <row r="44" spans="1:4" x14ac:dyDescent="0.35">
      <c r="A44" s="1">
        <v>45669</v>
      </c>
      <c r="B44" s="1" t="str">
        <f>TEXT(DimDate[[#This Row],[FullDate]],"MMMM")</f>
        <v>January</v>
      </c>
      <c r="C44" s="1">
        <f>MONTH(DimDate[[#This Row],[FullDate]])</f>
        <v>1</v>
      </c>
      <c r="D44" s="1">
        <f>YEAR(DimDate[[#This Row],[FullDate]])</f>
        <v>2025</v>
      </c>
    </row>
    <row r="45" spans="1:4" x14ac:dyDescent="0.35">
      <c r="A45" s="1">
        <v>45670</v>
      </c>
      <c r="B45" s="1" t="str">
        <f>TEXT(DimDate[[#This Row],[FullDate]],"MMMM")</f>
        <v>January</v>
      </c>
      <c r="C45" s="1">
        <f>MONTH(DimDate[[#This Row],[FullDate]])</f>
        <v>1</v>
      </c>
      <c r="D45" s="1">
        <f>YEAR(DimDate[[#This Row],[FullDate]])</f>
        <v>2025</v>
      </c>
    </row>
    <row r="46" spans="1:4" x14ac:dyDescent="0.35">
      <c r="A46" s="1">
        <v>45671</v>
      </c>
      <c r="B46" s="1" t="str">
        <f>TEXT(DimDate[[#This Row],[FullDate]],"MMMM")</f>
        <v>January</v>
      </c>
      <c r="C46" s="1">
        <f>MONTH(DimDate[[#This Row],[FullDate]])</f>
        <v>1</v>
      </c>
      <c r="D46" s="1">
        <f>YEAR(DimDate[[#This Row],[FullDate]])</f>
        <v>2025</v>
      </c>
    </row>
    <row r="47" spans="1:4" x14ac:dyDescent="0.35">
      <c r="A47" s="1">
        <v>45672</v>
      </c>
      <c r="B47" s="1" t="str">
        <f>TEXT(DimDate[[#This Row],[FullDate]],"MMMM")</f>
        <v>January</v>
      </c>
      <c r="C47" s="1">
        <f>MONTH(DimDate[[#This Row],[FullDate]])</f>
        <v>1</v>
      </c>
      <c r="D47" s="1">
        <f>YEAR(DimDate[[#This Row],[FullDate]])</f>
        <v>2025</v>
      </c>
    </row>
    <row r="48" spans="1:4" x14ac:dyDescent="0.35">
      <c r="A48" s="1">
        <v>45673</v>
      </c>
      <c r="B48" s="1" t="str">
        <f>TEXT(DimDate[[#This Row],[FullDate]],"MMMM")</f>
        <v>January</v>
      </c>
      <c r="C48" s="1">
        <f>MONTH(DimDate[[#This Row],[FullDate]])</f>
        <v>1</v>
      </c>
      <c r="D48" s="1">
        <f>YEAR(DimDate[[#This Row],[FullDate]])</f>
        <v>2025</v>
      </c>
    </row>
    <row r="49" spans="1:4" x14ac:dyDescent="0.35">
      <c r="A49" s="1">
        <v>45674</v>
      </c>
      <c r="B49" s="1" t="str">
        <f>TEXT(DimDate[[#This Row],[FullDate]],"MMMM")</f>
        <v>January</v>
      </c>
      <c r="C49" s="1">
        <f>MONTH(DimDate[[#This Row],[FullDate]])</f>
        <v>1</v>
      </c>
      <c r="D49" s="1">
        <f>YEAR(DimDate[[#This Row],[FullDate]])</f>
        <v>2025</v>
      </c>
    </row>
    <row r="50" spans="1:4" x14ac:dyDescent="0.35">
      <c r="A50" s="1">
        <v>45675</v>
      </c>
      <c r="B50" s="1" t="str">
        <f>TEXT(DimDate[[#This Row],[FullDate]],"MMMM")</f>
        <v>January</v>
      </c>
      <c r="C50" s="1">
        <f>MONTH(DimDate[[#This Row],[FullDate]])</f>
        <v>1</v>
      </c>
      <c r="D50" s="1">
        <f>YEAR(DimDate[[#This Row],[FullDate]])</f>
        <v>2025</v>
      </c>
    </row>
    <row r="51" spans="1:4" x14ac:dyDescent="0.35">
      <c r="A51" s="1">
        <v>45676</v>
      </c>
      <c r="B51" s="1" t="str">
        <f>TEXT(DimDate[[#This Row],[FullDate]],"MMMM")</f>
        <v>January</v>
      </c>
      <c r="C51" s="1">
        <f>MONTH(DimDate[[#This Row],[FullDate]])</f>
        <v>1</v>
      </c>
      <c r="D51" s="1">
        <f>YEAR(DimDate[[#This Row],[FullDate]])</f>
        <v>2025</v>
      </c>
    </row>
    <row r="52" spans="1:4" x14ac:dyDescent="0.35">
      <c r="A52" s="1">
        <v>45677</v>
      </c>
      <c r="B52" s="1" t="str">
        <f>TEXT(DimDate[[#This Row],[FullDate]],"MMMM")</f>
        <v>January</v>
      </c>
      <c r="C52" s="1">
        <f>MONTH(DimDate[[#This Row],[FullDate]])</f>
        <v>1</v>
      </c>
      <c r="D52" s="1">
        <f>YEAR(DimDate[[#This Row],[FullDate]])</f>
        <v>2025</v>
      </c>
    </row>
    <row r="53" spans="1:4" x14ac:dyDescent="0.35">
      <c r="A53" s="1">
        <v>45678</v>
      </c>
      <c r="B53" s="1" t="str">
        <f>TEXT(DimDate[[#This Row],[FullDate]],"MMMM")</f>
        <v>January</v>
      </c>
      <c r="C53" s="1">
        <f>MONTH(DimDate[[#This Row],[FullDate]])</f>
        <v>1</v>
      </c>
      <c r="D53" s="1">
        <f>YEAR(DimDate[[#This Row],[FullDate]])</f>
        <v>2025</v>
      </c>
    </row>
    <row r="54" spans="1:4" x14ac:dyDescent="0.35">
      <c r="A54" s="1">
        <v>45679</v>
      </c>
      <c r="B54" s="1" t="str">
        <f>TEXT(DimDate[[#This Row],[FullDate]],"MMMM")</f>
        <v>January</v>
      </c>
      <c r="C54" s="1">
        <f>MONTH(DimDate[[#This Row],[FullDate]])</f>
        <v>1</v>
      </c>
      <c r="D54" s="1">
        <f>YEAR(DimDate[[#This Row],[FullDate]])</f>
        <v>2025</v>
      </c>
    </row>
    <row r="55" spans="1:4" x14ac:dyDescent="0.35">
      <c r="A55" s="1">
        <v>45680</v>
      </c>
      <c r="B55" s="1" t="str">
        <f>TEXT(DimDate[[#This Row],[FullDate]],"MMMM")</f>
        <v>January</v>
      </c>
      <c r="C55" s="1">
        <f>MONTH(DimDate[[#This Row],[FullDate]])</f>
        <v>1</v>
      </c>
      <c r="D55" s="1">
        <f>YEAR(DimDate[[#This Row],[FullDate]])</f>
        <v>2025</v>
      </c>
    </row>
    <row r="56" spans="1:4" x14ac:dyDescent="0.35">
      <c r="A56" s="1">
        <v>45681</v>
      </c>
      <c r="B56" s="1" t="str">
        <f>TEXT(DimDate[[#This Row],[FullDate]],"MMMM")</f>
        <v>January</v>
      </c>
      <c r="C56" s="1">
        <f>MONTH(DimDate[[#This Row],[FullDate]])</f>
        <v>1</v>
      </c>
      <c r="D56" s="1">
        <f>YEAR(DimDate[[#This Row],[FullDate]])</f>
        <v>2025</v>
      </c>
    </row>
    <row r="57" spans="1:4" x14ac:dyDescent="0.35">
      <c r="A57" s="1">
        <v>45682</v>
      </c>
      <c r="B57" s="1" t="str">
        <f>TEXT(DimDate[[#This Row],[FullDate]],"MMMM")</f>
        <v>January</v>
      </c>
      <c r="C57" s="1">
        <f>MONTH(DimDate[[#This Row],[FullDate]])</f>
        <v>1</v>
      </c>
      <c r="D57" s="1">
        <f>YEAR(DimDate[[#This Row],[FullDate]])</f>
        <v>2025</v>
      </c>
    </row>
    <row r="58" spans="1:4" x14ac:dyDescent="0.35">
      <c r="A58" s="1">
        <v>45683</v>
      </c>
      <c r="B58" s="1" t="str">
        <f>TEXT(DimDate[[#This Row],[FullDate]],"MMMM")</f>
        <v>January</v>
      </c>
      <c r="C58" s="1">
        <f>MONTH(DimDate[[#This Row],[FullDate]])</f>
        <v>1</v>
      </c>
      <c r="D58" s="1">
        <f>YEAR(DimDate[[#This Row],[FullDate]])</f>
        <v>2025</v>
      </c>
    </row>
    <row r="59" spans="1:4" x14ac:dyDescent="0.35">
      <c r="A59" s="1">
        <v>45684</v>
      </c>
      <c r="B59" s="1" t="str">
        <f>TEXT(DimDate[[#This Row],[FullDate]],"MMMM")</f>
        <v>January</v>
      </c>
      <c r="C59" s="1">
        <f>MONTH(DimDate[[#This Row],[FullDate]])</f>
        <v>1</v>
      </c>
      <c r="D59" s="1">
        <f>YEAR(DimDate[[#This Row],[FullDate]])</f>
        <v>2025</v>
      </c>
    </row>
    <row r="60" spans="1:4" x14ac:dyDescent="0.35">
      <c r="A60" s="1">
        <v>45685</v>
      </c>
      <c r="B60" s="1" t="str">
        <f>TEXT(DimDate[[#This Row],[FullDate]],"MMMM")</f>
        <v>January</v>
      </c>
      <c r="C60" s="1">
        <f>MONTH(DimDate[[#This Row],[FullDate]])</f>
        <v>1</v>
      </c>
      <c r="D60" s="1">
        <f>YEAR(DimDate[[#This Row],[FullDate]])</f>
        <v>2025</v>
      </c>
    </row>
    <row r="61" spans="1:4" x14ac:dyDescent="0.35">
      <c r="A61" s="1">
        <v>45686</v>
      </c>
      <c r="B61" s="1" t="str">
        <f>TEXT(DimDate[[#This Row],[FullDate]],"MMMM")</f>
        <v>January</v>
      </c>
      <c r="C61" s="1">
        <f>MONTH(DimDate[[#This Row],[FullDate]])</f>
        <v>1</v>
      </c>
      <c r="D61" s="1">
        <f>YEAR(DimDate[[#This Row],[FullDate]])</f>
        <v>2025</v>
      </c>
    </row>
    <row r="62" spans="1:4" x14ac:dyDescent="0.35">
      <c r="A62" s="1">
        <v>45687</v>
      </c>
      <c r="B62" s="1" t="str">
        <f>TEXT(DimDate[[#This Row],[FullDate]],"MMMM")</f>
        <v>January</v>
      </c>
      <c r="C62" s="1">
        <f>MONTH(DimDate[[#This Row],[FullDate]])</f>
        <v>1</v>
      </c>
      <c r="D62" s="1">
        <f>YEAR(DimDate[[#This Row],[FullDate]])</f>
        <v>2025</v>
      </c>
    </row>
    <row r="63" spans="1:4" x14ac:dyDescent="0.35">
      <c r="A63" s="1">
        <v>45688</v>
      </c>
      <c r="B63" s="1" t="str">
        <f>TEXT(DimDate[[#This Row],[FullDate]],"MMMM")</f>
        <v>January</v>
      </c>
      <c r="C63" s="1">
        <f>MONTH(DimDate[[#This Row],[FullDate]])</f>
        <v>1</v>
      </c>
      <c r="D63" s="1">
        <f>YEAR(DimDate[[#This Row],[FullDate]])</f>
        <v>2025</v>
      </c>
    </row>
    <row r="64" spans="1:4" x14ac:dyDescent="0.35">
      <c r="A64" s="1">
        <v>45689</v>
      </c>
      <c r="B64" s="1" t="str">
        <f>TEXT(DimDate[[#This Row],[FullDate]],"MMMM")</f>
        <v>February</v>
      </c>
      <c r="C64" s="1">
        <f>MONTH(DimDate[[#This Row],[FullDate]])</f>
        <v>2</v>
      </c>
      <c r="D64" s="1">
        <f>YEAR(DimDate[[#This Row],[FullDate]])</f>
        <v>2025</v>
      </c>
    </row>
    <row r="65" spans="1:4" x14ac:dyDescent="0.35">
      <c r="A65" s="1">
        <v>45690</v>
      </c>
      <c r="B65" s="1" t="str">
        <f>TEXT(DimDate[[#This Row],[FullDate]],"MMMM")</f>
        <v>February</v>
      </c>
      <c r="C65" s="1">
        <f>MONTH(DimDate[[#This Row],[FullDate]])</f>
        <v>2</v>
      </c>
      <c r="D65" s="1">
        <f>YEAR(DimDate[[#This Row],[FullDate]])</f>
        <v>2025</v>
      </c>
    </row>
    <row r="66" spans="1:4" x14ac:dyDescent="0.35">
      <c r="A66" s="1">
        <v>45691</v>
      </c>
      <c r="B66" s="1" t="str">
        <f>TEXT(DimDate[[#This Row],[FullDate]],"MMMM")</f>
        <v>February</v>
      </c>
      <c r="C66" s="1">
        <f>MONTH(DimDate[[#This Row],[FullDate]])</f>
        <v>2</v>
      </c>
      <c r="D66" s="1">
        <f>YEAR(DimDate[[#This Row],[FullDate]])</f>
        <v>2025</v>
      </c>
    </row>
    <row r="67" spans="1:4" x14ac:dyDescent="0.35">
      <c r="A67" s="1">
        <v>45692</v>
      </c>
      <c r="B67" s="1" t="str">
        <f>TEXT(DimDate[[#This Row],[FullDate]],"MMMM")</f>
        <v>February</v>
      </c>
      <c r="C67" s="1">
        <f>MONTH(DimDate[[#This Row],[FullDate]])</f>
        <v>2</v>
      </c>
      <c r="D67" s="1">
        <f>YEAR(DimDate[[#This Row],[FullDate]])</f>
        <v>2025</v>
      </c>
    </row>
    <row r="68" spans="1:4" x14ac:dyDescent="0.35">
      <c r="A68" s="1">
        <v>45693</v>
      </c>
      <c r="B68" s="1" t="str">
        <f>TEXT(DimDate[[#This Row],[FullDate]],"MMMM")</f>
        <v>February</v>
      </c>
      <c r="C68" s="1">
        <f>MONTH(DimDate[[#This Row],[FullDate]])</f>
        <v>2</v>
      </c>
      <c r="D68" s="1">
        <f>YEAR(DimDate[[#This Row],[FullDate]])</f>
        <v>2025</v>
      </c>
    </row>
    <row r="69" spans="1:4" x14ac:dyDescent="0.35">
      <c r="A69" s="1">
        <v>45694</v>
      </c>
      <c r="B69" s="1" t="str">
        <f>TEXT(DimDate[[#This Row],[FullDate]],"MMMM")</f>
        <v>February</v>
      </c>
      <c r="C69" s="1">
        <f>MONTH(DimDate[[#This Row],[FullDate]])</f>
        <v>2</v>
      </c>
      <c r="D69" s="1">
        <f>YEAR(DimDate[[#This Row],[FullDate]])</f>
        <v>2025</v>
      </c>
    </row>
    <row r="70" spans="1:4" x14ac:dyDescent="0.35">
      <c r="A70" s="1">
        <v>45695</v>
      </c>
      <c r="B70" s="1" t="str">
        <f>TEXT(DimDate[[#This Row],[FullDate]],"MMMM")</f>
        <v>February</v>
      </c>
      <c r="C70" s="1">
        <f>MONTH(DimDate[[#This Row],[FullDate]])</f>
        <v>2</v>
      </c>
      <c r="D70" s="1">
        <f>YEAR(DimDate[[#This Row],[FullDate]])</f>
        <v>2025</v>
      </c>
    </row>
    <row r="71" spans="1:4" x14ac:dyDescent="0.35">
      <c r="A71" s="1">
        <v>45696</v>
      </c>
      <c r="B71" s="1" t="str">
        <f>TEXT(DimDate[[#This Row],[FullDate]],"MMMM")</f>
        <v>February</v>
      </c>
      <c r="C71" s="1">
        <f>MONTH(DimDate[[#This Row],[FullDate]])</f>
        <v>2</v>
      </c>
      <c r="D71" s="1">
        <f>YEAR(DimDate[[#This Row],[FullDate]])</f>
        <v>2025</v>
      </c>
    </row>
    <row r="72" spans="1:4" x14ac:dyDescent="0.35">
      <c r="A72" s="1">
        <v>45697</v>
      </c>
      <c r="B72" s="1" t="str">
        <f>TEXT(DimDate[[#This Row],[FullDate]],"MMMM")</f>
        <v>February</v>
      </c>
      <c r="C72" s="1">
        <f>MONTH(DimDate[[#This Row],[FullDate]])</f>
        <v>2</v>
      </c>
      <c r="D72" s="1">
        <f>YEAR(DimDate[[#This Row],[FullDate]])</f>
        <v>2025</v>
      </c>
    </row>
    <row r="73" spans="1:4" x14ac:dyDescent="0.35">
      <c r="A73" s="1">
        <v>45698</v>
      </c>
      <c r="B73" s="1" t="str">
        <f>TEXT(DimDate[[#This Row],[FullDate]],"MMMM")</f>
        <v>February</v>
      </c>
      <c r="C73" s="1">
        <f>MONTH(DimDate[[#This Row],[FullDate]])</f>
        <v>2</v>
      </c>
      <c r="D73" s="1">
        <f>YEAR(DimDate[[#This Row],[FullDate]])</f>
        <v>2025</v>
      </c>
    </row>
    <row r="74" spans="1:4" x14ac:dyDescent="0.35">
      <c r="A74" s="1">
        <v>45699</v>
      </c>
      <c r="B74" s="1" t="str">
        <f>TEXT(DimDate[[#This Row],[FullDate]],"MMMM")</f>
        <v>February</v>
      </c>
      <c r="C74" s="1">
        <f>MONTH(DimDate[[#This Row],[FullDate]])</f>
        <v>2</v>
      </c>
      <c r="D74" s="1">
        <f>YEAR(DimDate[[#This Row],[FullDate]])</f>
        <v>2025</v>
      </c>
    </row>
    <row r="75" spans="1:4" x14ac:dyDescent="0.35">
      <c r="A75" s="1">
        <v>45700</v>
      </c>
      <c r="B75" s="1" t="str">
        <f>TEXT(DimDate[[#This Row],[FullDate]],"MMMM")</f>
        <v>February</v>
      </c>
      <c r="C75" s="1">
        <f>MONTH(DimDate[[#This Row],[FullDate]])</f>
        <v>2</v>
      </c>
      <c r="D75" s="1">
        <f>YEAR(DimDate[[#This Row],[FullDate]])</f>
        <v>2025</v>
      </c>
    </row>
    <row r="76" spans="1:4" x14ac:dyDescent="0.35">
      <c r="A76" s="1">
        <v>45701</v>
      </c>
      <c r="B76" s="1" t="str">
        <f>TEXT(DimDate[[#This Row],[FullDate]],"MMMM")</f>
        <v>February</v>
      </c>
      <c r="C76" s="1">
        <f>MONTH(DimDate[[#This Row],[FullDate]])</f>
        <v>2</v>
      </c>
      <c r="D76" s="1">
        <f>YEAR(DimDate[[#This Row],[FullDate]])</f>
        <v>2025</v>
      </c>
    </row>
    <row r="77" spans="1:4" x14ac:dyDescent="0.35">
      <c r="A77" s="1">
        <v>45702</v>
      </c>
      <c r="B77" s="1" t="str">
        <f>TEXT(DimDate[[#This Row],[FullDate]],"MMMM")</f>
        <v>February</v>
      </c>
      <c r="C77" s="1">
        <f>MONTH(DimDate[[#This Row],[FullDate]])</f>
        <v>2</v>
      </c>
      <c r="D77" s="1">
        <f>YEAR(DimDate[[#This Row],[FullDate]])</f>
        <v>2025</v>
      </c>
    </row>
    <row r="78" spans="1:4" x14ac:dyDescent="0.35">
      <c r="A78" s="1">
        <v>45703</v>
      </c>
      <c r="B78" s="1" t="str">
        <f>TEXT(DimDate[[#This Row],[FullDate]],"MMMM")</f>
        <v>February</v>
      </c>
      <c r="C78" s="1">
        <f>MONTH(DimDate[[#This Row],[FullDate]])</f>
        <v>2</v>
      </c>
      <c r="D78" s="1">
        <f>YEAR(DimDate[[#This Row],[FullDate]])</f>
        <v>2025</v>
      </c>
    </row>
    <row r="79" spans="1:4" x14ac:dyDescent="0.35">
      <c r="A79" s="1">
        <v>45704</v>
      </c>
      <c r="B79" s="1" t="str">
        <f>TEXT(DimDate[[#This Row],[FullDate]],"MMMM")</f>
        <v>February</v>
      </c>
      <c r="C79" s="1">
        <f>MONTH(DimDate[[#This Row],[FullDate]])</f>
        <v>2</v>
      </c>
      <c r="D79" s="1">
        <f>YEAR(DimDate[[#This Row],[FullDate]])</f>
        <v>2025</v>
      </c>
    </row>
    <row r="80" spans="1:4" x14ac:dyDescent="0.35">
      <c r="A80" s="1">
        <v>45705</v>
      </c>
      <c r="B80" s="1" t="str">
        <f>TEXT(DimDate[[#This Row],[FullDate]],"MMMM")</f>
        <v>February</v>
      </c>
      <c r="C80" s="1">
        <f>MONTH(DimDate[[#This Row],[FullDate]])</f>
        <v>2</v>
      </c>
      <c r="D80" s="1">
        <f>YEAR(DimDate[[#This Row],[FullDate]])</f>
        <v>2025</v>
      </c>
    </row>
    <row r="81" spans="1:4" x14ac:dyDescent="0.35">
      <c r="A81" s="1">
        <v>45706</v>
      </c>
      <c r="B81" s="1" t="str">
        <f>TEXT(DimDate[[#This Row],[FullDate]],"MMMM")</f>
        <v>February</v>
      </c>
      <c r="C81" s="1">
        <f>MONTH(DimDate[[#This Row],[FullDate]])</f>
        <v>2</v>
      </c>
      <c r="D81" s="1">
        <f>YEAR(DimDate[[#This Row],[FullDate]])</f>
        <v>2025</v>
      </c>
    </row>
    <row r="82" spans="1:4" x14ac:dyDescent="0.35">
      <c r="A82" s="1">
        <v>45707</v>
      </c>
      <c r="B82" s="1" t="str">
        <f>TEXT(DimDate[[#This Row],[FullDate]],"MMMM")</f>
        <v>February</v>
      </c>
      <c r="C82" s="1">
        <f>MONTH(DimDate[[#This Row],[FullDate]])</f>
        <v>2</v>
      </c>
      <c r="D82" s="1">
        <f>YEAR(DimDate[[#This Row],[FullDate]])</f>
        <v>2025</v>
      </c>
    </row>
    <row r="83" spans="1:4" x14ac:dyDescent="0.35">
      <c r="A83" s="1">
        <v>45708</v>
      </c>
      <c r="B83" s="1" t="str">
        <f>TEXT(DimDate[[#This Row],[FullDate]],"MMMM")</f>
        <v>February</v>
      </c>
      <c r="C83" s="1">
        <f>MONTH(DimDate[[#This Row],[FullDate]])</f>
        <v>2</v>
      </c>
      <c r="D83" s="1">
        <f>YEAR(DimDate[[#This Row],[FullDate]])</f>
        <v>2025</v>
      </c>
    </row>
    <row r="84" spans="1:4" x14ac:dyDescent="0.35">
      <c r="A84" s="1">
        <v>45709</v>
      </c>
      <c r="B84" s="1" t="str">
        <f>TEXT(DimDate[[#This Row],[FullDate]],"MMMM")</f>
        <v>February</v>
      </c>
      <c r="C84" s="1">
        <f>MONTH(DimDate[[#This Row],[FullDate]])</f>
        <v>2</v>
      </c>
      <c r="D84" s="1">
        <f>YEAR(DimDate[[#This Row],[FullDate]])</f>
        <v>2025</v>
      </c>
    </row>
    <row r="85" spans="1:4" x14ac:dyDescent="0.35">
      <c r="A85" s="1">
        <v>45710</v>
      </c>
      <c r="B85" s="1" t="str">
        <f>TEXT(DimDate[[#This Row],[FullDate]],"MMMM")</f>
        <v>February</v>
      </c>
      <c r="C85" s="1">
        <f>MONTH(DimDate[[#This Row],[FullDate]])</f>
        <v>2</v>
      </c>
      <c r="D85" s="1">
        <f>YEAR(DimDate[[#This Row],[FullDate]])</f>
        <v>2025</v>
      </c>
    </row>
    <row r="86" spans="1:4" x14ac:dyDescent="0.35">
      <c r="A86" s="1">
        <v>45711</v>
      </c>
      <c r="B86" s="1" t="str">
        <f>TEXT(DimDate[[#This Row],[FullDate]],"MMMM")</f>
        <v>February</v>
      </c>
      <c r="C86" s="1">
        <f>MONTH(DimDate[[#This Row],[FullDate]])</f>
        <v>2</v>
      </c>
      <c r="D86" s="1">
        <f>YEAR(DimDate[[#This Row],[FullDate]])</f>
        <v>2025</v>
      </c>
    </row>
    <row r="87" spans="1:4" x14ac:dyDescent="0.35">
      <c r="A87" s="1">
        <v>45712</v>
      </c>
      <c r="B87" s="1" t="str">
        <f>TEXT(DimDate[[#This Row],[FullDate]],"MMMM")</f>
        <v>February</v>
      </c>
      <c r="C87" s="1">
        <f>MONTH(DimDate[[#This Row],[FullDate]])</f>
        <v>2</v>
      </c>
      <c r="D87" s="1">
        <f>YEAR(DimDate[[#This Row],[FullDate]])</f>
        <v>2025</v>
      </c>
    </row>
    <row r="88" spans="1:4" x14ac:dyDescent="0.35">
      <c r="A88" s="1">
        <v>45713</v>
      </c>
      <c r="B88" s="1" t="str">
        <f>TEXT(DimDate[[#This Row],[FullDate]],"MMMM")</f>
        <v>February</v>
      </c>
      <c r="C88" s="1">
        <f>MONTH(DimDate[[#This Row],[FullDate]])</f>
        <v>2</v>
      </c>
      <c r="D88" s="1">
        <f>YEAR(DimDate[[#This Row],[FullDate]])</f>
        <v>2025</v>
      </c>
    </row>
    <row r="89" spans="1:4" x14ac:dyDescent="0.35">
      <c r="A89" s="1">
        <v>45714</v>
      </c>
      <c r="B89" s="1" t="str">
        <f>TEXT(DimDate[[#This Row],[FullDate]],"MMMM")</f>
        <v>February</v>
      </c>
      <c r="C89" s="1">
        <f>MONTH(DimDate[[#This Row],[FullDate]])</f>
        <v>2</v>
      </c>
      <c r="D89" s="1">
        <f>YEAR(DimDate[[#This Row],[FullDate]])</f>
        <v>2025</v>
      </c>
    </row>
    <row r="90" spans="1:4" x14ac:dyDescent="0.35">
      <c r="A90" s="1">
        <v>45715</v>
      </c>
      <c r="B90" s="1" t="str">
        <f>TEXT(DimDate[[#This Row],[FullDate]],"MMMM")</f>
        <v>February</v>
      </c>
      <c r="C90" s="1">
        <f>MONTH(DimDate[[#This Row],[FullDate]])</f>
        <v>2</v>
      </c>
      <c r="D90" s="1">
        <f>YEAR(DimDate[[#This Row],[FullDate]])</f>
        <v>2025</v>
      </c>
    </row>
    <row r="91" spans="1:4" x14ac:dyDescent="0.35">
      <c r="A91" s="1">
        <v>45716</v>
      </c>
      <c r="B91" s="1" t="str">
        <f>TEXT(DimDate[[#This Row],[FullDate]],"MMMM")</f>
        <v>February</v>
      </c>
      <c r="C91" s="1">
        <f>MONTH(DimDate[[#This Row],[FullDate]])</f>
        <v>2</v>
      </c>
      <c r="D91" s="1">
        <f>YEAR(DimDate[[#This Row],[FullDate]])</f>
        <v>2025</v>
      </c>
    </row>
    <row r="92" spans="1:4" x14ac:dyDescent="0.35">
      <c r="A92" s="1">
        <v>45717</v>
      </c>
      <c r="B92" s="1" t="str">
        <f>TEXT(DimDate[[#This Row],[FullDate]],"MMMM")</f>
        <v>March</v>
      </c>
      <c r="C92" s="1">
        <f>MONTH(DimDate[[#This Row],[FullDate]])</f>
        <v>3</v>
      </c>
      <c r="D92" s="1">
        <f>YEAR(DimDate[[#This Row],[FullDate]])</f>
        <v>2025</v>
      </c>
    </row>
    <row r="93" spans="1:4" x14ac:dyDescent="0.35">
      <c r="A93" s="1">
        <v>45718</v>
      </c>
      <c r="B93" s="1" t="str">
        <f>TEXT(DimDate[[#This Row],[FullDate]],"MMMM")</f>
        <v>March</v>
      </c>
      <c r="C93" s="1">
        <f>MONTH(DimDate[[#This Row],[FullDate]])</f>
        <v>3</v>
      </c>
      <c r="D93" s="1">
        <f>YEAR(DimDate[[#This Row],[FullDate]])</f>
        <v>2025</v>
      </c>
    </row>
    <row r="94" spans="1:4" x14ac:dyDescent="0.35">
      <c r="A94" s="1">
        <v>45719</v>
      </c>
      <c r="B94" s="1" t="str">
        <f>TEXT(DimDate[[#This Row],[FullDate]],"MMMM")</f>
        <v>March</v>
      </c>
      <c r="C94" s="1">
        <f>MONTH(DimDate[[#This Row],[FullDate]])</f>
        <v>3</v>
      </c>
      <c r="D94" s="1">
        <f>YEAR(DimDate[[#This Row],[FullDate]])</f>
        <v>2025</v>
      </c>
    </row>
    <row r="95" spans="1:4" x14ac:dyDescent="0.35">
      <c r="A95" s="1">
        <v>45720</v>
      </c>
      <c r="B95" s="1" t="str">
        <f>TEXT(DimDate[[#This Row],[FullDate]],"MMMM")</f>
        <v>March</v>
      </c>
      <c r="C95" s="1">
        <f>MONTH(DimDate[[#This Row],[FullDate]])</f>
        <v>3</v>
      </c>
      <c r="D95" s="1">
        <f>YEAR(DimDate[[#This Row],[FullDate]])</f>
        <v>2025</v>
      </c>
    </row>
    <row r="96" spans="1:4" x14ac:dyDescent="0.35">
      <c r="A96" s="1">
        <v>45721</v>
      </c>
      <c r="B96" s="1" t="str">
        <f>TEXT(DimDate[[#This Row],[FullDate]],"MMMM")</f>
        <v>March</v>
      </c>
      <c r="C96" s="1">
        <f>MONTH(DimDate[[#This Row],[FullDate]])</f>
        <v>3</v>
      </c>
      <c r="D96" s="1">
        <f>YEAR(DimDate[[#This Row],[FullDate]])</f>
        <v>2025</v>
      </c>
    </row>
    <row r="97" spans="1:4" x14ac:dyDescent="0.35">
      <c r="A97" s="1">
        <v>45722</v>
      </c>
      <c r="B97" s="1" t="str">
        <f>TEXT(DimDate[[#This Row],[FullDate]],"MMMM")</f>
        <v>March</v>
      </c>
      <c r="C97" s="1">
        <f>MONTH(DimDate[[#This Row],[FullDate]])</f>
        <v>3</v>
      </c>
      <c r="D97" s="1">
        <f>YEAR(DimDate[[#This Row],[FullDate]])</f>
        <v>2025</v>
      </c>
    </row>
    <row r="98" spans="1:4" x14ac:dyDescent="0.35">
      <c r="A98" s="1">
        <v>45723</v>
      </c>
      <c r="B98" s="1" t="str">
        <f>TEXT(DimDate[[#This Row],[FullDate]],"MMMM")</f>
        <v>March</v>
      </c>
      <c r="C98" s="1">
        <f>MONTH(DimDate[[#This Row],[FullDate]])</f>
        <v>3</v>
      </c>
      <c r="D98" s="1">
        <f>YEAR(DimDate[[#This Row],[FullDate]])</f>
        <v>2025</v>
      </c>
    </row>
    <row r="99" spans="1:4" x14ac:dyDescent="0.35">
      <c r="A99" s="1">
        <v>45724</v>
      </c>
      <c r="B99" s="1" t="str">
        <f>TEXT(DimDate[[#This Row],[FullDate]],"MMMM")</f>
        <v>March</v>
      </c>
      <c r="C99" s="1">
        <f>MONTH(DimDate[[#This Row],[FullDate]])</f>
        <v>3</v>
      </c>
      <c r="D99" s="1">
        <f>YEAR(DimDate[[#This Row],[FullDate]])</f>
        <v>2025</v>
      </c>
    </row>
    <row r="100" spans="1:4" x14ac:dyDescent="0.35">
      <c r="A100" s="1">
        <v>45725</v>
      </c>
      <c r="B100" s="1" t="str">
        <f>TEXT(DimDate[[#This Row],[FullDate]],"MMMM")</f>
        <v>March</v>
      </c>
      <c r="C100" s="1">
        <f>MONTH(DimDate[[#This Row],[FullDate]])</f>
        <v>3</v>
      </c>
      <c r="D100" s="1">
        <f>YEAR(DimDate[[#This Row],[FullDate]])</f>
        <v>2025</v>
      </c>
    </row>
    <row r="101" spans="1:4" x14ac:dyDescent="0.35">
      <c r="A101" s="1">
        <v>45726</v>
      </c>
      <c r="B101" s="1" t="str">
        <f>TEXT(DimDate[[#This Row],[FullDate]],"MMMM")</f>
        <v>March</v>
      </c>
      <c r="C101" s="1">
        <f>MONTH(DimDate[[#This Row],[FullDate]])</f>
        <v>3</v>
      </c>
      <c r="D101" s="1">
        <f>YEAR(DimDate[[#This Row],[FullDate]])</f>
        <v>2025</v>
      </c>
    </row>
    <row r="102" spans="1:4" x14ac:dyDescent="0.35">
      <c r="A102" s="1">
        <v>45727</v>
      </c>
      <c r="B102" s="1" t="str">
        <f>TEXT(DimDate[[#This Row],[FullDate]],"MMMM")</f>
        <v>March</v>
      </c>
      <c r="C102" s="1">
        <f>MONTH(DimDate[[#This Row],[FullDate]])</f>
        <v>3</v>
      </c>
      <c r="D102" s="1">
        <f>YEAR(DimDate[[#This Row],[FullDate]])</f>
        <v>2025</v>
      </c>
    </row>
    <row r="103" spans="1:4" x14ac:dyDescent="0.35">
      <c r="A103" s="1">
        <v>45728</v>
      </c>
      <c r="B103" s="1" t="str">
        <f>TEXT(DimDate[[#This Row],[FullDate]],"MMMM")</f>
        <v>March</v>
      </c>
      <c r="C103" s="1">
        <f>MONTH(DimDate[[#This Row],[FullDate]])</f>
        <v>3</v>
      </c>
      <c r="D103" s="1">
        <f>YEAR(DimDate[[#This Row],[FullDate]])</f>
        <v>2025</v>
      </c>
    </row>
    <row r="104" spans="1:4" x14ac:dyDescent="0.35">
      <c r="A104" s="1">
        <v>45729</v>
      </c>
      <c r="B104" s="1" t="str">
        <f>TEXT(DimDate[[#This Row],[FullDate]],"MMMM")</f>
        <v>March</v>
      </c>
      <c r="C104" s="1">
        <f>MONTH(DimDate[[#This Row],[FullDate]])</f>
        <v>3</v>
      </c>
      <c r="D104" s="1">
        <f>YEAR(DimDate[[#This Row],[FullDate]])</f>
        <v>2025</v>
      </c>
    </row>
    <row r="105" spans="1:4" x14ac:dyDescent="0.35">
      <c r="A105" s="1">
        <v>45730</v>
      </c>
      <c r="B105" s="1" t="str">
        <f>TEXT(DimDate[[#This Row],[FullDate]],"MMMM")</f>
        <v>March</v>
      </c>
      <c r="C105" s="1">
        <f>MONTH(DimDate[[#This Row],[FullDate]])</f>
        <v>3</v>
      </c>
      <c r="D105" s="1">
        <f>YEAR(DimDate[[#This Row],[FullDate]])</f>
        <v>2025</v>
      </c>
    </row>
    <row r="106" spans="1:4" x14ac:dyDescent="0.35">
      <c r="A106" s="1">
        <v>45731</v>
      </c>
      <c r="B106" s="1" t="str">
        <f>TEXT(DimDate[[#This Row],[FullDate]],"MMMM")</f>
        <v>March</v>
      </c>
      <c r="C106" s="1">
        <f>MONTH(DimDate[[#This Row],[FullDate]])</f>
        <v>3</v>
      </c>
      <c r="D106" s="1">
        <f>YEAR(DimDate[[#This Row],[FullDate]])</f>
        <v>2025</v>
      </c>
    </row>
    <row r="107" spans="1:4" x14ac:dyDescent="0.35">
      <c r="A107" s="1">
        <v>45732</v>
      </c>
      <c r="B107" s="1" t="str">
        <f>TEXT(DimDate[[#This Row],[FullDate]],"MMMM")</f>
        <v>March</v>
      </c>
      <c r="C107" s="1">
        <f>MONTH(DimDate[[#This Row],[FullDate]])</f>
        <v>3</v>
      </c>
      <c r="D107" s="1">
        <f>YEAR(DimDate[[#This Row],[FullDate]])</f>
        <v>2025</v>
      </c>
    </row>
    <row r="108" spans="1:4" x14ac:dyDescent="0.35">
      <c r="A108" s="1">
        <v>45733</v>
      </c>
      <c r="B108" s="1" t="str">
        <f>TEXT(DimDate[[#This Row],[FullDate]],"MMMM")</f>
        <v>March</v>
      </c>
      <c r="C108" s="1">
        <f>MONTH(DimDate[[#This Row],[FullDate]])</f>
        <v>3</v>
      </c>
      <c r="D108" s="1">
        <f>YEAR(DimDate[[#This Row],[FullDate]])</f>
        <v>2025</v>
      </c>
    </row>
    <row r="109" spans="1:4" x14ac:dyDescent="0.35">
      <c r="A109" s="1">
        <v>45734</v>
      </c>
      <c r="B109" s="1" t="str">
        <f>TEXT(DimDate[[#This Row],[FullDate]],"MMMM")</f>
        <v>March</v>
      </c>
      <c r="C109" s="1">
        <f>MONTH(DimDate[[#This Row],[FullDate]])</f>
        <v>3</v>
      </c>
      <c r="D109" s="1">
        <f>YEAR(DimDate[[#This Row],[FullDate]])</f>
        <v>2025</v>
      </c>
    </row>
    <row r="110" spans="1:4" x14ac:dyDescent="0.35">
      <c r="A110" s="1">
        <v>45735</v>
      </c>
      <c r="B110" s="1" t="str">
        <f>TEXT(DimDate[[#This Row],[FullDate]],"MMMM")</f>
        <v>March</v>
      </c>
      <c r="C110" s="1">
        <f>MONTH(DimDate[[#This Row],[FullDate]])</f>
        <v>3</v>
      </c>
      <c r="D110" s="1">
        <f>YEAR(DimDate[[#This Row],[FullDate]])</f>
        <v>2025</v>
      </c>
    </row>
    <row r="111" spans="1:4" x14ac:dyDescent="0.35">
      <c r="A111" s="1">
        <v>45736</v>
      </c>
      <c r="B111" s="1" t="str">
        <f>TEXT(DimDate[[#This Row],[FullDate]],"MMMM")</f>
        <v>March</v>
      </c>
      <c r="C111" s="1">
        <f>MONTH(DimDate[[#This Row],[FullDate]])</f>
        <v>3</v>
      </c>
      <c r="D111" s="1">
        <f>YEAR(DimDate[[#This Row],[FullDate]])</f>
        <v>2025</v>
      </c>
    </row>
    <row r="112" spans="1:4" x14ac:dyDescent="0.35">
      <c r="A112" s="1">
        <v>45737</v>
      </c>
      <c r="B112" s="1" t="str">
        <f>TEXT(DimDate[[#This Row],[FullDate]],"MMMM")</f>
        <v>March</v>
      </c>
      <c r="C112" s="1">
        <f>MONTH(DimDate[[#This Row],[FullDate]])</f>
        <v>3</v>
      </c>
      <c r="D112" s="1">
        <f>YEAR(DimDate[[#This Row],[FullDate]])</f>
        <v>2025</v>
      </c>
    </row>
    <row r="113" spans="1:4" x14ac:dyDescent="0.35">
      <c r="A113" s="1">
        <v>45738</v>
      </c>
      <c r="B113" s="1" t="str">
        <f>TEXT(DimDate[[#This Row],[FullDate]],"MMMM")</f>
        <v>March</v>
      </c>
      <c r="C113" s="1">
        <f>MONTH(DimDate[[#This Row],[FullDate]])</f>
        <v>3</v>
      </c>
      <c r="D113" s="1">
        <f>YEAR(DimDate[[#This Row],[FullDate]])</f>
        <v>2025</v>
      </c>
    </row>
    <row r="114" spans="1:4" x14ac:dyDescent="0.35">
      <c r="A114" s="1">
        <v>45739</v>
      </c>
      <c r="B114" s="1" t="str">
        <f>TEXT(DimDate[[#This Row],[FullDate]],"MMMM")</f>
        <v>March</v>
      </c>
      <c r="C114" s="1">
        <f>MONTH(DimDate[[#This Row],[FullDate]])</f>
        <v>3</v>
      </c>
      <c r="D114" s="1">
        <f>YEAR(DimDate[[#This Row],[FullDate]])</f>
        <v>2025</v>
      </c>
    </row>
    <row r="115" spans="1:4" x14ac:dyDescent="0.35">
      <c r="A115" s="1">
        <v>45740</v>
      </c>
      <c r="B115" s="1" t="str">
        <f>TEXT(DimDate[[#This Row],[FullDate]],"MMMM")</f>
        <v>March</v>
      </c>
      <c r="C115" s="1">
        <f>MONTH(DimDate[[#This Row],[FullDate]])</f>
        <v>3</v>
      </c>
      <c r="D115" s="1">
        <f>YEAR(DimDate[[#This Row],[FullDate]])</f>
        <v>2025</v>
      </c>
    </row>
    <row r="116" spans="1:4" x14ac:dyDescent="0.35">
      <c r="A116" s="1">
        <v>45741</v>
      </c>
      <c r="B116" s="1" t="str">
        <f>TEXT(DimDate[[#This Row],[FullDate]],"MMMM")</f>
        <v>March</v>
      </c>
      <c r="C116" s="1">
        <f>MONTH(DimDate[[#This Row],[FullDate]])</f>
        <v>3</v>
      </c>
      <c r="D116" s="1">
        <f>YEAR(DimDate[[#This Row],[FullDate]])</f>
        <v>2025</v>
      </c>
    </row>
    <row r="117" spans="1:4" x14ac:dyDescent="0.35">
      <c r="A117" s="1">
        <v>45742</v>
      </c>
      <c r="B117" s="1" t="str">
        <f>TEXT(DimDate[[#This Row],[FullDate]],"MMMM")</f>
        <v>March</v>
      </c>
      <c r="C117" s="1">
        <f>MONTH(DimDate[[#This Row],[FullDate]])</f>
        <v>3</v>
      </c>
      <c r="D117" s="1">
        <f>YEAR(DimDate[[#This Row],[FullDate]])</f>
        <v>2025</v>
      </c>
    </row>
    <row r="118" spans="1:4" x14ac:dyDescent="0.35">
      <c r="A118" s="1">
        <v>45743</v>
      </c>
      <c r="B118" s="1" t="str">
        <f>TEXT(DimDate[[#This Row],[FullDate]],"MMMM")</f>
        <v>March</v>
      </c>
      <c r="C118" s="1">
        <f>MONTH(DimDate[[#This Row],[FullDate]])</f>
        <v>3</v>
      </c>
      <c r="D118" s="1">
        <f>YEAR(DimDate[[#This Row],[FullDate]])</f>
        <v>2025</v>
      </c>
    </row>
    <row r="119" spans="1:4" x14ac:dyDescent="0.35">
      <c r="A119" s="1">
        <v>45744</v>
      </c>
      <c r="B119" s="1" t="str">
        <f>TEXT(DimDate[[#This Row],[FullDate]],"MMMM")</f>
        <v>March</v>
      </c>
      <c r="C119" s="1">
        <f>MONTH(DimDate[[#This Row],[FullDate]])</f>
        <v>3</v>
      </c>
      <c r="D119" s="1">
        <f>YEAR(DimDate[[#This Row],[FullDate]])</f>
        <v>2025</v>
      </c>
    </row>
    <row r="120" spans="1:4" x14ac:dyDescent="0.35">
      <c r="A120" s="1">
        <v>45745</v>
      </c>
      <c r="B120" s="1" t="str">
        <f>TEXT(DimDate[[#This Row],[FullDate]],"MMMM")</f>
        <v>March</v>
      </c>
      <c r="C120" s="1">
        <f>MONTH(DimDate[[#This Row],[FullDate]])</f>
        <v>3</v>
      </c>
      <c r="D120" s="1">
        <f>YEAR(DimDate[[#This Row],[FullDate]])</f>
        <v>2025</v>
      </c>
    </row>
    <row r="121" spans="1:4" x14ac:dyDescent="0.35">
      <c r="A121" s="1">
        <v>45746</v>
      </c>
      <c r="B121" s="1" t="str">
        <f>TEXT(DimDate[[#This Row],[FullDate]],"MMMM")</f>
        <v>March</v>
      </c>
      <c r="C121" s="1">
        <f>MONTH(DimDate[[#This Row],[FullDate]])</f>
        <v>3</v>
      </c>
      <c r="D121" s="1">
        <f>YEAR(DimDate[[#This Row],[FullDate]])</f>
        <v>2025</v>
      </c>
    </row>
    <row r="122" spans="1:4" x14ac:dyDescent="0.35">
      <c r="A122" s="1">
        <v>45747</v>
      </c>
      <c r="B122" s="1" t="str">
        <f>TEXT(DimDate[[#This Row],[FullDate]],"MMMM")</f>
        <v>March</v>
      </c>
      <c r="C122" s="1">
        <f>MONTH(DimDate[[#This Row],[FullDate]])</f>
        <v>3</v>
      </c>
      <c r="D122" s="1">
        <f>YEAR(DimDate[[#This Row],[FullDate]])</f>
        <v>2025</v>
      </c>
    </row>
    <row r="123" spans="1:4" x14ac:dyDescent="0.35">
      <c r="A123" s="1">
        <v>45748</v>
      </c>
      <c r="B123" s="1" t="str">
        <f>TEXT(DimDate[[#This Row],[FullDate]],"MMMM")</f>
        <v>April</v>
      </c>
      <c r="C123" s="1">
        <f>MONTH(DimDate[[#This Row],[FullDate]])</f>
        <v>4</v>
      </c>
      <c r="D123" s="1">
        <f>YEAR(DimDate[[#This Row],[FullDate]])</f>
        <v>2025</v>
      </c>
    </row>
    <row r="124" spans="1:4" x14ac:dyDescent="0.35">
      <c r="A124" s="1">
        <v>45749</v>
      </c>
      <c r="B124" s="1" t="str">
        <f>TEXT(DimDate[[#This Row],[FullDate]],"MMMM")</f>
        <v>April</v>
      </c>
      <c r="C124" s="1">
        <f>MONTH(DimDate[[#This Row],[FullDate]])</f>
        <v>4</v>
      </c>
      <c r="D124" s="1">
        <f>YEAR(DimDate[[#This Row],[FullDate]])</f>
        <v>2025</v>
      </c>
    </row>
    <row r="125" spans="1:4" x14ac:dyDescent="0.35">
      <c r="A125" s="1">
        <v>45750</v>
      </c>
      <c r="B125" s="1" t="str">
        <f>TEXT(DimDate[[#This Row],[FullDate]],"MMMM")</f>
        <v>April</v>
      </c>
      <c r="C125" s="1">
        <f>MONTH(DimDate[[#This Row],[FullDate]])</f>
        <v>4</v>
      </c>
      <c r="D125" s="1">
        <f>YEAR(DimDate[[#This Row],[FullDate]])</f>
        <v>2025</v>
      </c>
    </row>
    <row r="126" spans="1:4" x14ac:dyDescent="0.35">
      <c r="A126" s="1">
        <v>45751</v>
      </c>
      <c r="B126" s="1" t="str">
        <f>TEXT(DimDate[[#This Row],[FullDate]],"MMMM")</f>
        <v>April</v>
      </c>
      <c r="C126" s="1">
        <f>MONTH(DimDate[[#This Row],[FullDate]])</f>
        <v>4</v>
      </c>
      <c r="D126" s="1">
        <f>YEAR(DimDate[[#This Row],[FullDate]])</f>
        <v>2025</v>
      </c>
    </row>
    <row r="127" spans="1:4" x14ac:dyDescent="0.35">
      <c r="A127" s="1">
        <v>45752</v>
      </c>
      <c r="B127" s="1" t="str">
        <f>TEXT(DimDate[[#This Row],[FullDate]],"MMMM")</f>
        <v>April</v>
      </c>
      <c r="C127" s="1">
        <f>MONTH(DimDate[[#This Row],[FullDate]])</f>
        <v>4</v>
      </c>
      <c r="D127" s="1">
        <f>YEAR(DimDate[[#This Row],[FullDate]])</f>
        <v>2025</v>
      </c>
    </row>
    <row r="128" spans="1:4" x14ac:dyDescent="0.35">
      <c r="A128" s="1">
        <v>45753</v>
      </c>
      <c r="B128" s="1" t="str">
        <f>TEXT(DimDate[[#This Row],[FullDate]],"MMMM")</f>
        <v>April</v>
      </c>
      <c r="C128" s="1">
        <f>MONTH(DimDate[[#This Row],[FullDate]])</f>
        <v>4</v>
      </c>
      <c r="D128" s="1">
        <f>YEAR(DimDate[[#This Row],[FullDate]])</f>
        <v>2025</v>
      </c>
    </row>
    <row r="129" spans="1:4" x14ac:dyDescent="0.35">
      <c r="A129" s="1">
        <v>45754</v>
      </c>
      <c r="B129" s="1" t="str">
        <f>TEXT(DimDate[[#This Row],[FullDate]],"MMMM")</f>
        <v>April</v>
      </c>
      <c r="C129" s="1">
        <f>MONTH(DimDate[[#This Row],[FullDate]])</f>
        <v>4</v>
      </c>
      <c r="D129" s="1">
        <f>YEAR(DimDate[[#This Row],[FullDate]])</f>
        <v>2025</v>
      </c>
    </row>
    <row r="130" spans="1:4" x14ac:dyDescent="0.35">
      <c r="A130" s="1">
        <v>45755</v>
      </c>
      <c r="B130" s="1" t="str">
        <f>TEXT(DimDate[[#This Row],[FullDate]],"MMMM")</f>
        <v>April</v>
      </c>
      <c r="C130" s="1">
        <f>MONTH(DimDate[[#This Row],[FullDate]])</f>
        <v>4</v>
      </c>
      <c r="D130" s="1">
        <f>YEAR(DimDate[[#This Row],[FullDate]])</f>
        <v>2025</v>
      </c>
    </row>
    <row r="131" spans="1:4" x14ac:dyDescent="0.35">
      <c r="A131" s="1">
        <v>45756</v>
      </c>
      <c r="B131" s="1" t="str">
        <f>TEXT(DimDate[[#This Row],[FullDate]],"MMMM")</f>
        <v>April</v>
      </c>
      <c r="C131" s="1">
        <f>MONTH(DimDate[[#This Row],[FullDate]])</f>
        <v>4</v>
      </c>
      <c r="D131" s="1">
        <f>YEAR(DimDate[[#This Row],[FullDate]])</f>
        <v>2025</v>
      </c>
    </row>
    <row r="132" spans="1:4" x14ac:dyDescent="0.35">
      <c r="A132" s="1">
        <v>45757</v>
      </c>
      <c r="B132" s="1" t="str">
        <f>TEXT(DimDate[[#This Row],[FullDate]],"MMMM")</f>
        <v>April</v>
      </c>
      <c r="C132" s="1">
        <f>MONTH(DimDate[[#This Row],[FullDate]])</f>
        <v>4</v>
      </c>
      <c r="D132" s="1">
        <f>YEAR(DimDate[[#This Row],[FullDate]])</f>
        <v>2025</v>
      </c>
    </row>
    <row r="133" spans="1:4" x14ac:dyDescent="0.35">
      <c r="A133" s="1">
        <v>45758</v>
      </c>
      <c r="B133" s="1" t="str">
        <f>TEXT(DimDate[[#This Row],[FullDate]],"MMMM")</f>
        <v>April</v>
      </c>
      <c r="C133" s="1">
        <f>MONTH(DimDate[[#This Row],[FullDate]])</f>
        <v>4</v>
      </c>
      <c r="D133" s="1">
        <f>YEAR(DimDate[[#This Row],[FullDate]])</f>
        <v>2025</v>
      </c>
    </row>
    <row r="134" spans="1:4" x14ac:dyDescent="0.35">
      <c r="A134" s="1">
        <v>45759</v>
      </c>
      <c r="B134" s="1" t="str">
        <f>TEXT(DimDate[[#This Row],[FullDate]],"MMMM")</f>
        <v>April</v>
      </c>
      <c r="C134" s="1">
        <f>MONTH(DimDate[[#This Row],[FullDate]])</f>
        <v>4</v>
      </c>
      <c r="D134" s="1">
        <f>YEAR(DimDate[[#This Row],[FullDate]])</f>
        <v>2025</v>
      </c>
    </row>
    <row r="135" spans="1:4" x14ac:dyDescent="0.35">
      <c r="A135" s="1">
        <v>45760</v>
      </c>
      <c r="B135" s="1" t="str">
        <f>TEXT(DimDate[[#This Row],[FullDate]],"MMMM")</f>
        <v>April</v>
      </c>
      <c r="C135" s="1">
        <f>MONTH(DimDate[[#This Row],[FullDate]])</f>
        <v>4</v>
      </c>
      <c r="D135" s="1">
        <f>YEAR(DimDate[[#This Row],[FullDate]])</f>
        <v>2025</v>
      </c>
    </row>
    <row r="136" spans="1:4" x14ac:dyDescent="0.35">
      <c r="A136" s="1">
        <v>45761</v>
      </c>
      <c r="B136" s="1" t="str">
        <f>TEXT(DimDate[[#This Row],[FullDate]],"MMMM")</f>
        <v>April</v>
      </c>
      <c r="C136" s="1">
        <f>MONTH(DimDate[[#This Row],[FullDate]])</f>
        <v>4</v>
      </c>
      <c r="D136" s="1">
        <f>YEAR(DimDate[[#This Row],[FullDate]])</f>
        <v>2025</v>
      </c>
    </row>
    <row r="137" spans="1:4" x14ac:dyDescent="0.35">
      <c r="A137" s="1">
        <v>45762</v>
      </c>
      <c r="B137" s="1" t="str">
        <f>TEXT(DimDate[[#This Row],[FullDate]],"MMMM")</f>
        <v>April</v>
      </c>
      <c r="C137" s="1">
        <f>MONTH(DimDate[[#This Row],[FullDate]])</f>
        <v>4</v>
      </c>
      <c r="D137" s="1">
        <f>YEAR(DimDate[[#This Row],[FullDate]])</f>
        <v>2025</v>
      </c>
    </row>
    <row r="138" spans="1:4" x14ac:dyDescent="0.35">
      <c r="A138" s="1">
        <v>45763</v>
      </c>
      <c r="B138" s="1" t="str">
        <f>TEXT(DimDate[[#This Row],[FullDate]],"MMMM")</f>
        <v>April</v>
      </c>
      <c r="C138" s="1">
        <f>MONTH(DimDate[[#This Row],[FullDate]])</f>
        <v>4</v>
      </c>
      <c r="D138" s="1">
        <f>YEAR(DimDate[[#This Row],[FullDate]])</f>
        <v>2025</v>
      </c>
    </row>
    <row r="139" spans="1:4" x14ac:dyDescent="0.35">
      <c r="A139" s="1">
        <v>45764</v>
      </c>
      <c r="B139" s="1" t="str">
        <f>TEXT(DimDate[[#This Row],[FullDate]],"MMMM")</f>
        <v>April</v>
      </c>
      <c r="C139" s="1">
        <f>MONTH(DimDate[[#This Row],[FullDate]])</f>
        <v>4</v>
      </c>
      <c r="D139" s="1">
        <f>YEAR(DimDate[[#This Row],[FullDate]])</f>
        <v>2025</v>
      </c>
    </row>
    <row r="140" spans="1:4" x14ac:dyDescent="0.35">
      <c r="A140" s="1">
        <v>45765</v>
      </c>
      <c r="B140" s="1" t="str">
        <f>TEXT(DimDate[[#This Row],[FullDate]],"MMMM")</f>
        <v>April</v>
      </c>
      <c r="C140" s="1">
        <f>MONTH(DimDate[[#This Row],[FullDate]])</f>
        <v>4</v>
      </c>
      <c r="D140" s="1">
        <f>YEAR(DimDate[[#This Row],[FullDate]])</f>
        <v>2025</v>
      </c>
    </row>
    <row r="141" spans="1:4" x14ac:dyDescent="0.35">
      <c r="A141" s="1">
        <v>45766</v>
      </c>
      <c r="B141" s="1" t="str">
        <f>TEXT(DimDate[[#This Row],[FullDate]],"MMMM")</f>
        <v>April</v>
      </c>
      <c r="C141" s="1">
        <f>MONTH(DimDate[[#This Row],[FullDate]])</f>
        <v>4</v>
      </c>
      <c r="D141" s="1">
        <f>YEAR(DimDate[[#This Row],[FullDate]])</f>
        <v>2025</v>
      </c>
    </row>
    <row r="142" spans="1:4" x14ac:dyDescent="0.35">
      <c r="A142" s="1">
        <v>45767</v>
      </c>
      <c r="B142" s="1" t="str">
        <f>TEXT(DimDate[[#This Row],[FullDate]],"MMMM")</f>
        <v>April</v>
      </c>
      <c r="C142" s="1">
        <f>MONTH(DimDate[[#This Row],[FullDate]])</f>
        <v>4</v>
      </c>
      <c r="D142" s="1">
        <f>YEAR(DimDate[[#This Row],[FullDate]])</f>
        <v>2025</v>
      </c>
    </row>
    <row r="143" spans="1:4" x14ac:dyDescent="0.35">
      <c r="A143" s="1">
        <v>45768</v>
      </c>
      <c r="B143" s="1" t="str">
        <f>TEXT(DimDate[[#This Row],[FullDate]],"MMMM")</f>
        <v>April</v>
      </c>
      <c r="C143" s="1">
        <f>MONTH(DimDate[[#This Row],[FullDate]])</f>
        <v>4</v>
      </c>
      <c r="D143" s="1">
        <f>YEAR(DimDate[[#This Row],[FullDate]])</f>
        <v>2025</v>
      </c>
    </row>
    <row r="144" spans="1:4" x14ac:dyDescent="0.35">
      <c r="A144" s="1">
        <v>45769</v>
      </c>
      <c r="B144" s="1" t="str">
        <f>TEXT(DimDate[[#This Row],[FullDate]],"MMMM")</f>
        <v>April</v>
      </c>
      <c r="C144" s="1">
        <f>MONTH(DimDate[[#This Row],[FullDate]])</f>
        <v>4</v>
      </c>
      <c r="D144" s="1">
        <f>YEAR(DimDate[[#This Row],[FullDate]])</f>
        <v>2025</v>
      </c>
    </row>
    <row r="145" spans="1:4" x14ac:dyDescent="0.35">
      <c r="A145" s="1">
        <v>45770</v>
      </c>
      <c r="B145" s="1" t="str">
        <f>TEXT(DimDate[[#This Row],[FullDate]],"MMMM")</f>
        <v>April</v>
      </c>
      <c r="C145" s="1">
        <f>MONTH(DimDate[[#This Row],[FullDate]])</f>
        <v>4</v>
      </c>
      <c r="D145" s="1">
        <f>YEAR(DimDate[[#This Row],[FullDate]])</f>
        <v>2025</v>
      </c>
    </row>
    <row r="146" spans="1:4" x14ac:dyDescent="0.35">
      <c r="A146" s="1">
        <v>45771</v>
      </c>
      <c r="B146" s="1" t="str">
        <f>TEXT(DimDate[[#This Row],[FullDate]],"MMMM")</f>
        <v>April</v>
      </c>
      <c r="C146" s="1">
        <f>MONTH(DimDate[[#This Row],[FullDate]])</f>
        <v>4</v>
      </c>
      <c r="D146" s="1">
        <f>YEAR(DimDate[[#This Row],[FullDate]])</f>
        <v>2025</v>
      </c>
    </row>
    <row r="147" spans="1:4" x14ac:dyDescent="0.35">
      <c r="A147" s="1">
        <v>45772</v>
      </c>
      <c r="B147" s="1" t="str">
        <f>TEXT(DimDate[[#This Row],[FullDate]],"MMMM")</f>
        <v>April</v>
      </c>
      <c r="C147" s="1">
        <f>MONTH(DimDate[[#This Row],[FullDate]])</f>
        <v>4</v>
      </c>
      <c r="D147" s="1">
        <f>YEAR(DimDate[[#This Row],[FullDate]])</f>
        <v>2025</v>
      </c>
    </row>
    <row r="148" spans="1:4" x14ac:dyDescent="0.35">
      <c r="A148" s="1">
        <v>45773</v>
      </c>
      <c r="B148" s="1" t="str">
        <f>TEXT(DimDate[[#This Row],[FullDate]],"MMMM")</f>
        <v>April</v>
      </c>
      <c r="C148" s="1">
        <f>MONTH(DimDate[[#This Row],[FullDate]])</f>
        <v>4</v>
      </c>
      <c r="D148" s="1">
        <f>YEAR(DimDate[[#This Row],[FullDate]])</f>
        <v>2025</v>
      </c>
    </row>
    <row r="149" spans="1:4" x14ac:dyDescent="0.35">
      <c r="A149" s="1">
        <v>45774</v>
      </c>
      <c r="B149" s="1" t="str">
        <f>TEXT(DimDate[[#This Row],[FullDate]],"MMMM")</f>
        <v>April</v>
      </c>
      <c r="C149" s="1">
        <f>MONTH(DimDate[[#This Row],[FullDate]])</f>
        <v>4</v>
      </c>
      <c r="D149" s="1">
        <f>YEAR(DimDate[[#This Row],[FullDate]])</f>
        <v>2025</v>
      </c>
    </row>
    <row r="150" spans="1:4" x14ac:dyDescent="0.35">
      <c r="A150" s="1">
        <v>45775</v>
      </c>
      <c r="B150" s="1" t="str">
        <f>TEXT(DimDate[[#This Row],[FullDate]],"MMMM")</f>
        <v>April</v>
      </c>
      <c r="C150" s="1">
        <f>MONTH(DimDate[[#This Row],[FullDate]])</f>
        <v>4</v>
      </c>
      <c r="D150" s="1">
        <f>YEAR(DimDate[[#This Row],[FullDate]])</f>
        <v>2025</v>
      </c>
    </row>
    <row r="151" spans="1:4" x14ac:dyDescent="0.35">
      <c r="A151" s="1">
        <v>45776</v>
      </c>
      <c r="B151" s="1" t="str">
        <f>TEXT(DimDate[[#This Row],[FullDate]],"MMMM")</f>
        <v>April</v>
      </c>
      <c r="C151" s="1">
        <f>MONTH(DimDate[[#This Row],[FullDate]])</f>
        <v>4</v>
      </c>
      <c r="D151" s="1">
        <f>YEAR(DimDate[[#This Row],[FullDate]])</f>
        <v>2025</v>
      </c>
    </row>
    <row r="152" spans="1:4" x14ac:dyDescent="0.35">
      <c r="A152" s="1">
        <v>45777</v>
      </c>
      <c r="B152" s="1" t="str">
        <f>TEXT(DimDate[[#This Row],[FullDate]],"MMMM")</f>
        <v>April</v>
      </c>
      <c r="C152" s="1">
        <f>MONTH(DimDate[[#This Row],[FullDate]])</f>
        <v>4</v>
      </c>
      <c r="D152" s="1">
        <f>YEAR(DimDate[[#This Row],[FullDate]])</f>
        <v>2025</v>
      </c>
    </row>
    <row r="153" spans="1:4" x14ac:dyDescent="0.35">
      <c r="A153" s="1">
        <v>45778</v>
      </c>
      <c r="B153" s="1" t="str">
        <f>TEXT(DimDate[[#This Row],[FullDate]],"MMMM")</f>
        <v>May</v>
      </c>
      <c r="C153" s="1">
        <f>MONTH(DimDate[[#This Row],[FullDate]])</f>
        <v>5</v>
      </c>
      <c r="D153" s="1">
        <f>YEAR(DimDate[[#This Row],[FullDate]])</f>
        <v>2025</v>
      </c>
    </row>
    <row r="154" spans="1:4" x14ac:dyDescent="0.35">
      <c r="A154" s="1">
        <v>45779</v>
      </c>
      <c r="B154" s="1" t="str">
        <f>TEXT(DimDate[[#This Row],[FullDate]],"MMMM")</f>
        <v>May</v>
      </c>
      <c r="C154" s="1">
        <f>MONTH(DimDate[[#This Row],[FullDate]])</f>
        <v>5</v>
      </c>
      <c r="D154" s="1">
        <f>YEAR(DimDate[[#This Row],[FullDate]])</f>
        <v>2025</v>
      </c>
    </row>
    <row r="155" spans="1:4" x14ac:dyDescent="0.35">
      <c r="A155" s="1">
        <v>45780</v>
      </c>
      <c r="B155" s="1" t="str">
        <f>TEXT(DimDate[[#This Row],[FullDate]],"MMMM")</f>
        <v>May</v>
      </c>
      <c r="C155" s="1">
        <f>MONTH(DimDate[[#This Row],[FullDate]])</f>
        <v>5</v>
      </c>
      <c r="D155" s="1">
        <f>YEAR(DimDate[[#This Row],[FullDate]])</f>
        <v>2025</v>
      </c>
    </row>
    <row r="156" spans="1:4" x14ac:dyDescent="0.35">
      <c r="A156" s="1">
        <v>45781</v>
      </c>
      <c r="B156" s="1" t="str">
        <f>TEXT(DimDate[[#This Row],[FullDate]],"MMMM")</f>
        <v>May</v>
      </c>
      <c r="C156" s="1">
        <f>MONTH(DimDate[[#This Row],[FullDate]])</f>
        <v>5</v>
      </c>
      <c r="D156" s="1">
        <f>YEAR(DimDate[[#This Row],[FullDate]])</f>
        <v>2025</v>
      </c>
    </row>
    <row r="157" spans="1:4" x14ac:dyDescent="0.35">
      <c r="A157" s="1">
        <v>45782</v>
      </c>
      <c r="B157" s="1" t="str">
        <f>TEXT(DimDate[[#This Row],[FullDate]],"MMMM")</f>
        <v>May</v>
      </c>
      <c r="C157" s="1">
        <f>MONTH(DimDate[[#This Row],[FullDate]])</f>
        <v>5</v>
      </c>
      <c r="D157" s="1">
        <f>YEAR(DimDate[[#This Row],[FullDate]])</f>
        <v>2025</v>
      </c>
    </row>
    <row r="158" spans="1:4" x14ac:dyDescent="0.35">
      <c r="A158" s="1">
        <v>45783</v>
      </c>
      <c r="B158" s="1" t="str">
        <f>TEXT(DimDate[[#This Row],[FullDate]],"MMMM")</f>
        <v>May</v>
      </c>
      <c r="C158" s="1">
        <f>MONTH(DimDate[[#This Row],[FullDate]])</f>
        <v>5</v>
      </c>
      <c r="D158" s="1">
        <f>YEAR(DimDate[[#This Row],[FullDate]])</f>
        <v>2025</v>
      </c>
    </row>
    <row r="159" spans="1:4" x14ac:dyDescent="0.35">
      <c r="A159" s="1">
        <v>45784</v>
      </c>
      <c r="B159" s="1" t="str">
        <f>TEXT(DimDate[[#This Row],[FullDate]],"MMMM")</f>
        <v>May</v>
      </c>
      <c r="C159" s="1">
        <f>MONTH(DimDate[[#This Row],[FullDate]])</f>
        <v>5</v>
      </c>
      <c r="D159" s="1">
        <f>YEAR(DimDate[[#This Row],[FullDate]])</f>
        <v>2025</v>
      </c>
    </row>
    <row r="160" spans="1:4" x14ac:dyDescent="0.35">
      <c r="A160" s="1">
        <v>45785</v>
      </c>
      <c r="B160" s="1" t="str">
        <f>TEXT(DimDate[[#This Row],[FullDate]],"MMMM")</f>
        <v>May</v>
      </c>
      <c r="C160" s="1">
        <f>MONTH(DimDate[[#This Row],[FullDate]])</f>
        <v>5</v>
      </c>
      <c r="D160" s="1">
        <f>YEAR(DimDate[[#This Row],[FullDate]])</f>
        <v>2025</v>
      </c>
    </row>
    <row r="161" spans="1:4" x14ac:dyDescent="0.35">
      <c r="A161" s="1">
        <v>45786</v>
      </c>
      <c r="B161" s="1" t="str">
        <f>TEXT(DimDate[[#This Row],[FullDate]],"MMMM")</f>
        <v>May</v>
      </c>
      <c r="C161" s="1">
        <f>MONTH(DimDate[[#This Row],[FullDate]])</f>
        <v>5</v>
      </c>
      <c r="D161" s="1">
        <f>YEAR(DimDate[[#This Row],[FullDate]])</f>
        <v>2025</v>
      </c>
    </row>
    <row r="162" spans="1:4" x14ac:dyDescent="0.35">
      <c r="A162" s="1">
        <v>45787</v>
      </c>
      <c r="B162" s="1" t="str">
        <f>TEXT(DimDate[[#This Row],[FullDate]],"MMMM")</f>
        <v>May</v>
      </c>
      <c r="C162" s="1">
        <f>MONTH(DimDate[[#This Row],[FullDate]])</f>
        <v>5</v>
      </c>
      <c r="D162" s="1">
        <f>YEAR(DimDate[[#This Row],[FullDate]])</f>
        <v>2025</v>
      </c>
    </row>
    <row r="163" spans="1:4" x14ac:dyDescent="0.35">
      <c r="A163" s="1">
        <v>45788</v>
      </c>
      <c r="B163" s="1" t="str">
        <f>TEXT(DimDate[[#This Row],[FullDate]],"MMMM")</f>
        <v>May</v>
      </c>
      <c r="C163" s="1">
        <f>MONTH(DimDate[[#This Row],[FullDate]])</f>
        <v>5</v>
      </c>
      <c r="D163" s="1">
        <f>YEAR(DimDate[[#This Row],[FullDate]])</f>
        <v>2025</v>
      </c>
    </row>
    <row r="164" spans="1:4" x14ac:dyDescent="0.35">
      <c r="A164" s="1">
        <v>45789</v>
      </c>
      <c r="B164" s="1" t="str">
        <f>TEXT(DimDate[[#This Row],[FullDate]],"MMMM")</f>
        <v>May</v>
      </c>
      <c r="C164" s="1">
        <f>MONTH(DimDate[[#This Row],[FullDate]])</f>
        <v>5</v>
      </c>
      <c r="D164" s="1">
        <f>YEAR(DimDate[[#This Row],[FullDate]])</f>
        <v>2025</v>
      </c>
    </row>
    <row r="165" spans="1:4" x14ac:dyDescent="0.35">
      <c r="A165" s="1">
        <v>45790</v>
      </c>
      <c r="B165" s="1" t="str">
        <f>TEXT(DimDate[[#This Row],[FullDate]],"MMMM")</f>
        <v>May</v>
      </c>
      <c r="C165" s="1">
        <f>MONTH(DimDate[[#This Row],[FullDate]])</f>
        <v>5</v>
      </c>
      <c r="D165" s="1">
        <f>YEAR(DimDate[[#This Row],[FullDate]])</f>
        <v>2025</v>
      </c>
    </row>
    <row r="166" spans="1:4" x14ac:dyDescent="0.35">
      <c r="A166" s="1">
        <v>45791</v>
      </c>
      <c r="B166" s="1" t="str">
        <f>TEXT(DimDate[[#This Row],[FullDate]],"MMMM")</f>
        <v>May</v>
      </c>
      <c r="C166" s="1">
        <f>MONTH(DimDate[[#This Row],[FullDate]])</f>
        <v>5</v>
      </c>
      <c r="D166" s="1">
        <f>YEAR(DimDate[[#This Row],[FullDate]])</f>
        <v>2025</v>
      </c>
    </row>
    <row r="167" spans="1:4" x14ac:dyDescent="0.35">
      <c r="A167" s="1">
        <v>45792</v>
      </c>
      <c r="B167" s="1" t="str">
        <f>TEXT(DimDate[[#This Row],[FullDate]],"MMMM")</f>
        <v>May</v>
      </c>
      <c r="C167" s="1">
        <f>MONTH(DimDate[[#This Row],[FullDate]])</f>
        <v>5</v>
      </c>
      <c r="D167" s="1">
        <f>YEAR(DimDate[[#This Row],[FullDate]])</f>
        <v>2025</v>
      </c>
    </row>
    <row r="168" spans="1:4" x14ac:dyDescent="0.35">
      <c r="A168" s="1">
        <v>45793</v>
      </c>
      <c r="B168" s="1" t="str">
        <f>TEXT(DimDate[[#This Row],[FullDate]],"MMMM")</f>
        <v>May</v>
      </c>
      <c r="C168" s="1">
        <f>MONTH(DimDate[[#This Row],[FullDate]])</f>
        <v>5</v>
      </c>
      <c r="D168" s="1">
        <f>YEAR(DimDate[[#This Row],[FullDate]])</f>
        <v>2025</v>
      </c>
    </row>
    <row r="169" spans="1:4" x14ac:dyDescent="0.35">
      <c r="A169" s="1">
        <v>45794</v>
      </c>
      <c r="B169" s="1" t="str">
        <f>TEXT(DimDate[[#This Row],[FullDate]],"MMMM")</f>
        <v>May</v>
      </c>
      <c r="C169" s="1">
        <f>MONTH(DimDate[[#This Row],[FullDate]])</f>
        <v>5</v>
      </c>
      <c r="D169" s="1">
        <f>YEAR(DimDate[[#This Row],[FullDate]])</f>
        <v>2025</v>
      </c>
    </row>
    <row r="170" spans="1:4" x14ac:dyDescent="0.35">
      <c r="A170" s="1">
        <v>45795</v>
      </c>
      <c r="B170" s="1" t="str">
        <f>TEXT(DimDate[[#This Row],[FullDate]],"MMMM")</f>
        <v>May</v>
      </c>
      <c r="C170" s="1">
        <f>MONTH(DimDate[[#This Row],[FullDate]])</f>
        <v>5</v>
      </c>
      <c r="D170" s="1">
        <f>YEAR(DimDate[[#This Row],[FullDate]])</f>
        <v>2025</v>
      </c>
    </row>
    <row r="171" spans="1:4" x14ac:dyDescent="0.35">
      <c r="A171" s="1">
        <v>45796</v>
      </c>
      <c r="B171" s="1" t="str">
        <f>TEXT(DimDate[[#This Row],[FullDate]],"MMMM")</f>
        <v>May</v>
      </c>
      <c r="C171" s="1">
        <f>MONTH(DimDate[[#This Row],[FullDate]])</f>
        <v>5</v>
      </c>
      <c r="D171" s="1">
        <f>YEAR(DimDate[[#This Row],[FullDate]])</f>
        <v>2025</v>
      </c>
    </row>
    <row r="172" spans="1:4" x14ac:dyDescent="0.35">
      <c r="A172" s="1">
        <v>45797</v>
      </c>
      <c r="B172" s="1" t="str">
        <f>TEXT(DimDate[[#This Row],[FullDate]],"MMMM")</f>
        <v>May</v>
      </c>
      <c r="C172" s="1">
        <f>MONTH(DimDate[[#This Row],[FullDate]])</f>
        <v>5</v>
      </c>
      <c r="D172" s="1">
        <f>YEAR(DimDate[[#This Row],[FullDate]])</f>
        <v>2025</v>
      </c>
    </row>
    <row r="173" spans="1:4" x14ac:dyDescent="0.35">
      <c r="A173" s="1">
        <v>45798</v>
      </c>
      <c r="B173" s="1" t="str">
        <f>TEXT(DimDate[[#This Row],[FullDate]],"MMMM")</f>
        <v>May</v>
      </c>
      <c r="C173" s="1">
        <f>MONTH(DimDate[[#This Row],[FullDate]])</f>
        <v>5</v>
      </c>
      <c r="D173" s="1">
        <f>YEAR(DimDate[[#This Row],[FullDate]])</f>
        <v>2025</v>
      </c>
    </row>
    <row r="174" spans="1:4" x14ac:dyDescent="0.35">
      <c r="A174" s="1">
        <v>45799</v>
      </c>
      <c r="B174" s="1" t="str">
        <f>TEXT(DimDate[[#This Row],[FullDate]],"MMMM")</f>
        <v>May</v>
      </c>
      <c r="C174" s="1">
        <f>MONTH(DimDate[[#This Row],[FullDate]])</f>
        <v>5</v>
      </c>
      <c r="D174" s="1">
        <f>YEAR(DimDate[[#This Row],[FullDate]])</f>
        <v>2025</v>
      </c>
    </row>
    <row r="175" spans="1:4" x14ac:dyDescent="0.35">
      <c r="A175" s="1">
        <v>45800</v>
      </c>
      <c r="B175" s="1" t="str">
        <f>TEXT(DimDate[[#This Row],[FullDate]],"MMMM")</f>
        <v>May</v>
      </c>
      <c r="C175" s="1">
        <f>MONTH(DimDate[[#This Row],[FullDate]])</f>
        <v>5</v>
      </c>
      <c r="D175" s="1">
        <f>YEAR(DimDate[[#This Row],[FullDate]])</f>
        <v>2025</v>
      </c>
    </row>
    <row r="176" spans="1:4" x14ac:dyDescent="0.35">
      <c r="A176" s="1">
        <v>45801</v>
      </c>
      <c r="B176" s="1" t="str">
        <f>TEXT(DimDate[[#This Row],[FullDate]],"MMMM")</f>
        <v>May</v>
      </c>
      <c r="C176" s="1">
        <f>MONTH(DimDate[[#This Row],[FullDate]])</f>
        <v>5</v>
      </c>
      <c r="D176" s="1">
        <f>YEAR(DimDate[[#This Row],[FullDate]])</f>
        <v>2025</v>
      </c>
    </row>
    <row r="177" spans="1:4" x14ac:dyDescent="0.35">
      <c r="A177" s="1">
        <v>45802</v>
      </c>
      <c r="B177" s="1" t="str">
        <f>TEXT(DimDate[[#This Row],[FullDate]],"MMMM")</f>
        <v>May</v>
      </c>
      <c r="C177" s="1">
        <f>MONTH(DimDate[[#This Row],[FullDate]])</f>
        <v>5</v>
      </c>
      <c r="D177" s="1">
        <f>YEAR(DimDate[[#This Row],[FullDate]])</f>
        <v>2025</v>
      </c>
    </row>
    <row r="178" spans="1:4" x14ac:dyDescent="0.35">
      <c r="A178" s="1">
        <v>45803</v>
      </c>
      <c r="B178" s="1" t="str">
        <f>TEXT(DimDate[[#This Row],[FullDate]],"MMMM")</f>
        <v>May</v>
      </c>
      <c r="C178" s="1">
        <f>MONTH(DimDate[[#This Row],[FullDate]])</f>
        <v>5</v>
      </c>
      <c r="D178" s="1">
        <f>YEAR(DimDate[[#This Row],[FullDate]])</f>
        <v>2025</v>
      </c>
    </row>
    <row r="179" spans="1:4" x14ac:dyDescent="0.35">
      <c r="A179" s="1">
        <v>45804</v>
      </c>
      <c r="B179" s="1" t="str">
        <f>TEXT(DimDate[[#This Row],[FullDate]],"MMMM")</f>
        <v>May</v>
      </c>
      <c r="C179" s="1">
        <f>MONTH(DimDate[[#This Row],[FullDate]])</f>
        <v>5</v>
      </c>
      <c r="D179" s="1">
        <f>YEAR(DimDate[[#This Row],[FullDate]])</f>
        <v>2025</v>
      </c>
    </row>
    <row r="180" spans="1:4" x14ac:dyDescent="0.35">
      <c r="A180" s="1">
        <v>45805</v>
      </c>
      <c r="B180" s="1" t="str">
        <f>TEXT(DimDate[[#This Row],[FullDate]],"MMMM")</f>
        <v>May</v>
      </c>
      <c r="C180" s="1">
        <f>MONTH(DimDate[[#This Row],[FullDate]])</f>
        <v>5</v>
      </c>
      <c r="D180" s="1">
        <f>YEAR(DimDate[[#This Row],[FullDate]])</f>
        <v>2025</v>
      </c>
    </row>
    <row r="181" spans="1:4" x14ac:dyDescent="0.35">
      <c r="A181" s="1">
        <v>45806</v>
      </c>
      <c r="B181" s="1" t="str">
        <f>TEXT(DimDate[[#This Row],[FullDate]],"MMMM")</f>
        <v>May</v>
      </c>
      <c r="C181" s="1">
        <f>MONTH(DimDate[[#This Row],[FullDate]])</f>
        <v>5</v>
      </c>
      <c r="D181" s="1">
        <f>YEAR(DimDate[[#This Row],[FullDate]])</f>
        <v>2025</v>
      </c>
    </row>
    <row r="182" spans="1:4" x14ac:dyDescent="0.35">
      <c r="A182" s="1">
        <v>45807</v>
      </c>
      <c r="B182" s="1" t="str">
        <f>TEXT(DimDate[[#This Row],[FullDate]],"MMMM")</f>
        <v>May</v>
      </c>
      <c r="C182" s="1">
        <f>MONTH(DimDate[[#This Row],[FullDate]])</f>
        <v>5</v>
      </c>
      <c r="D182" s="1">
        <f>YEAR(DimDate[[#This Row],[FullDate]])</f>
        <v>2025</v>
      </c>
    </row>
    <row r="183" spans="1:4" x14ac:dyDescent="0.35">
      <c r="A183" s="1">
        <v>45808</v>
      </c>
      <c r="B183" s="1" t="str">
        <f>TEXT(DimDate[[#This Row],[FullDate]],"MMMM")</f>
        <v>May</v>
      </c>
      <c r="C183" s="1">
        <f>MONTH(DimDate[[#This Row],[FullDate]])</f>
        <v>5</v>
      </c>
      <c r="D183" s="1">
        <f>YEAR(DimDate[[#This Row],[FullDate]])</f>
        <v>2025</v>
      </c>
    </row>
    <row r="184" spans="1:4" x14ac:dyDescent="0.35">
      <c r="A184" s="1">
        <v>45809</v>
      </c>
      <c r="B184" s="1" t="str">
        <f>TEXT(DimDate[[#This Row],[FullDate]],"MMMM")</f>
        <v>June</v>
      </c>
      <c r="C184" s="1">
        <f>MONTH(DimDate[[#This Row],[FullDate]])</f>
        <v>6</v>
      </c>
      <c r="D184" s="1">
        <f>YEAR(DimDate[[#This Row],[FullDate]])</f>
        <v>2025</v>
      </c>
    </row>
    <row r="185" spans="1:4" x14ac:dyDescent="0.35">
      <c r="A185" s="1">
        <v>45810</v>
      </c>
      <c r="B185" s="1" t="str">
        <f>TEXT(DimDate[[#This Row],[FullDate]],"MMMM")</f>
        <v>June</v>
      </c>
      <c r="C185" s="1">
        <f>MONTH(DimDate[[#This Row],[FullDate]])</f>
        <v>6</v>
      </c>
      <c r="D185" s="1">
        <f>YEAR(DimDate[[#This Row],[FullDate]])</f>
        <v>2025</v>
      </c>
    </row>
    <row r="186" spans="1:4" x14ac:dyDescent="0.35">
      <c r="A186" s="1">
        <v>45811</v>
      </c>
      <c r="B186" s="1" t="str">
        <f>TEXT(DimDate[[#This Row],[FullDate]],"MMMM")</f>
        <v>June</v>
      </c>
      <c r="C186" s="1">
        <f>MONTH(DimDate[[#This Row],[FullDate]])</f>
        <v>6</v>
      </c>
      <c r="D186" s="1">
        <f>YEAR(DimDate[[#This Row],[FullDate]])</f>
        <v>2025</v>
      </c>
    </row>
    <row r="187" spans="1:4" x14ac:dyDescent="0.35">
      <c r="A187" s="1">
        <v>45812</v>
      </c>
      <c r="B187" s="1" t="str">
        <f>TEXT(DimDate[[#This Row],[FullDate]],"MMMM")</f>
        <v>June</v>
      </c>
      <c r="C187" s="1">
        <f>MONTH(DimDate[[#This Row],[FullDate]])</f>
        <v>6</v>
      </c>
      <c r="D187" s="1">
        <f>YEAR(DimDate[[#This Row],[FullDate]])</f>
        <v>2025</v>
      </c>
    </row>
    <row r="188" spans="1:4" x14ac:dyDescent="0.35">
      <c r="A188" s="1">
        <v>45813</v>
      </c>
      <c r="B188" s="1" t="str">
        <f>TEXT(DimDate[[#This Row],[FullDate]],"MMMM")</f>
        <v>June</v>
      </c>
      <c r="C188" s="1">
        <f>MONTH(DimDate[[#This Row],[FullDate]])</f>
        <v>6</v>
      </c>
      <c r="D188" s="1">
        <f>YEAR(DimDate[[#This Row],[FullDate]])</f>
        <v>2025</v>
      </c>
    </row>
    <row r="189" spans="1:4" x14ac:dyDescent="0.35">
      <c r="A189" s="1">
        <v>45814</v>
      </c>
      <c r="B189" s="1" t="str">
        <f>TEXT(DimDate[[#This Row],[FullDate]],"MMMM")</f>
        <v>June</v>
      </c>
      <c r="C189" s="1">
        <f>MONTH(DimDate[[#This Row],[FullDate]])</f>
        <v>6</v>
      </c>
      <c r="D189" s="1">
        <f>YEAR(DimDate[[#This Row],[FullDate]])</f>
        <v>2025</v>
      </c>
    </row>
    <row r="190" spans="1:4" x14ac:dyDescent="0.35">
      <c r="A190" s="1">
        <v>45815</v>
      </c>
      <c r="B190" s="1" t="str">
        <f>TEXT(DimDate[[#This Row],[FullDate]],"MMMM")</f>
        <v>June</v>
      </c>
      <c r="C190" s="1">
        <f>MONTH(DimDate[[#This Row],[FullDate]])</f>
        <v>6</v>
      </c>
      <c r="D190" s="1">
        <f>YEAR(DimDate[[#This Row],[FullDate]])</f>
        <v>2025</v>
      </c>
    </row>
    <row r="191" spans="1:4" x14ac:dyDescent="0.35">
      <c r="A191" s="1">
        <v>45816</v>
      </c>
      <c r="B191" s="1" t="str">
        <f>TEXT(DimDate[[#This Row],[FullDate]],"MMMM")</f>
        <v>June</v>
      </c>
      <c r="C191" s="1">
        <f>MONTH(DimDate[[#This Row],[FullDate]])</f>
        <v>6</v>
      </c>
      <c r="D191" s="1">
        <f>YEAR(DimDate[[#This Row],[FullDate]])</f>
        <v>2025</v>
      </c>
    </row>
    <row r="192" spans="1:4" x14ac:dyDescent="0.35">
      <c r="A192" s="1">
        <v>45817</v>
      </c>
      <c r="B192" s="1" t="str">
        <f>TEXT(DimDate[[#This Row],[FullDate]],"MMMM")</f>
        <v>June</v>
      </c>
      <c r="C192" s="1">
        <f>MONTH(DimDate[[#This Row],[FullDate]])</f>
        <v>6</v>
      </c>
      <c r="D192" s="1">
        <f>YEAR(DimDate[[#This Row],[FullDate]])</f>
        <v>2025</v>
      </c>
    </row>
    <row r="193" spans="1:4" x14ac:dyDescent="0.35">
      <c r="A193" s="1">
        <v>45818</v>
      </c>
      <c r="B193" s="1" t="str">
        <f>TEXT(DimDate[[#This Row],[FullDate]],"MMMM")</f>
        <v>June</v>
      </c>
      <c r="C193" s="1">
        <f>MONTH(DimDate[[#This Row],[FullDate]])</f>
        <v>6</v>
      </c>
      <c r="D193" s="1">
        <f>YEAR(DimDate[[#This Row],[FullDate]])</f>
        <v>2025</v>
      </c>
    </row>
    <row r="194" spans="1:4" x14ac:dyDescent="0.35">
      <c r="A194" s="1">
        <v>45819</v>
      </c>
      <c r="B194" s="1" t="str">
        <f>TEXT(DimDate[[#This Row],[FullDate]],"MMMM")</f>
        <v>June</v>
      </c>
      <c r="C194" s="1">
        <f>MONTH(DimDate[[#This Row],[FullDate]])</f>
        <v>6</v>
      </c>
      <c r="D194" s="1">
        <f>YEAR(DimDate[[#This Row],[FullDate]])</f>
        <v>2025</v>
      </c>
    </row>
    <row r="195" spans="1:4" x14ac:dyDescent="0.35">
      <c r="A195" s="1">
        <v>45820</v>
      </c>
      <c r="B195" s="1" t="str">
        <f>TEXT(DimDate[[#This Row],[FullDate]],"MMMM")</f>
        <v>June</v>
      </c>
      <c r="C195" s="1">
        <f>MONTH(DimDate[[#This Row],[FullDate]])</f>
        <v>6</v>
      </c>
      <c r="D195" s="1">
        <f>YEAR(DimDate[[#This Row],[FullDate]])</f>
        <v>2025</v>
      </c>
    </row>
    <row r="196" spans="1:4" x14ac:dyDescent="0.35">
      <c r="A196" s="1">
        <v>45821</v>
      </c>
      <c r="B196" s="1" t="str">
        <f>TEXT(DimDate[[#This Row],[FullDate]],"MMMM")</f>
        <v>June</v>
      </c>
      <c r="C196" s="1">
        <f>MONTH(DimDate[[#This Row],[FullDate]])</f>
        <v>6</v>
      </c>
      <c r="D196" s="1">
        <f>YEAR(DimDate[[#This Row],[FullDate]])</f>
        <v>2025</v>
      </c>
    </row>
    <row r="197" spans="1:4" x14ac:dyDescent="0.35">
      <c r="A197" s="1">
        <v>45822</v>
      </c>
      <c r="B197" s="1" t="str">
        <f>TEXT(DimDate[[#This Row],[FullDate]],"MMMM")</f>
        <v>June</v>
      </c>
      <c r="C197" s="1">
        <f>MONTH(DimDate[[#This Row],[FullDate]])</f>
        <v>6</v>
      </c>
      <c r="D197" s="1">
        <f>YEAR(DimDate[[#This Row],[FullDate]])</f>
        <v>2025</v>
      </c>
    </row>
    <row r="198" spans="1:4" x14ac:dyDescent="0.35">
      <c r="A198" s="1">
        <v>45823</v>
      </c>
      <c r="B198" s="1" t="str">
        <f>TEXT(DimDate[[#This Row],[FullDate]],"MMMM")</f>
        <v>June</v>
      </c>
      <c r="C198" s="1">
        <f>MONTH(DimDate[[#This Row],[FullDate]])</f>
        <v>6</v>
      </c>
      <c r="D198" s="1">
        <f>YEAR(DimDate[[#This Row],[FullDate]])</f>
        <v>2025</v>
      </c>
    </row>
    <row r="199" spans="1:4" x14ac:dyDescent="0.35">
      <c r="A199" s="1">
        <v>45824</v>
      </c>
      <c r="B199" s="1" t="str">
        <f>TEXT(DimDate[[#This Row],[FullDate]],"MMMM")</f>
        <v>June</v>
      </c>
      <c r="C199" s="1">
        <f>MONTH(DimDate[[#This Row],[FullDate]])</f>
        <v>6</v>
      </c>
      <c r="D199" s="1">
        <f>YEAR(DimDate[[#This Row],[FullDate]])</f>
        <v>2025</v>
      </c>
    </row>
    <row r="200" spans="1:4" x14ac:dyDescent="0.35">
      <c r="A200" s="1">
        <v>45825</v>
      </c>
      <c r="B200" s="1" t="str">
        <f>TEXT(DimDate[[#This Row],[FullDate]],"MMMM")</f>
        <v>June</v>
      </c>
      <c r="C200" s="1">
        <f>MONTH(DimDate[[#This Row],[FullDate]])</f>
        <v>6</v>
      </c>
      <c r="D200" s="1">
        <f>YEAR(DimDate[[#This Row],[FullDate]])</f>
        <v>2025</v>
      </c>
    </row>
    <row r="201" spans="1:4" x14ac:dyDescent="0.35">
      <c r="A201" s="1">
        <v>45826</v>
      </c>
      <c r="B201" s="1" t="str">
        <f>TEXT(DimDate[[#This Row],[FullDate]],"MMMM")</f>
        <v>June</v>
      </c>
      <c r="C201" s="1">
        <f>MONTH(DimDate[[#This Row],[FullDate]])</f>
        <v>6</v>
      </c>
      <c r="D201" s="1">
        <f>YEAR(DimDate[[#This Row],[FullDate]])</f>
        <v>2025</v>
      </c>
    </row>
    <row r="202" spans="1:4" x14ac:dyDescent="0.35">
      <c r="A202" s="1">
        <v>45827</v>
      </c>
      <c r="B202" s="1" t="str">
        <f>TEXT(DimDate[[#This Row],[FullDate]],"MMMM")</f>
        <v>June</v>
      </c>
      <c r="C202" s="1">
        <f>MONTH(DimDate[[#This Row],[FullDate]])</f>
        <v>6</v>
      </c>
      <c r="D202" s="1">
        <f>YEAR(DimDate[[#This Row],[FullDate]])</f>
        <v>2025</v>
      </c>
    </row>
    <row r="203" spans="1:4" x14ac:dyDescent="0.35">
      <c r="A203" s="1">
        <v>45828</v>
      </c>
      <c r="B203" s="1" t="str">
        <f>TEXT(DimDate[[#This Row],[FullDate]],"MMMM")</f>
        <v>June</v>
      </c>
      <c r="C203" s="1">
        <f>MONTH(DimDate[[#This Row],[FullDate]])</f>
        <v>6</v>
      </c>
      <c r="D203" s="1">
        <f>YEAR(DimDate[[#This Row],[FullDate]])</f>
        <v>2025</v>
      </c>
    </row>
    <row r="204" spans="1:4" x14ac:dyDescent="0.35">
      <c r="A204" s="1">
        <v>45829</v>
      </c>
      <c r="B204" s="1" t="str">
        <f>TEXT(DimDate[[#This Row],[FullDate]],"MMMM")</f>
        <v>June</v>
      </c>
      <c r="C204" s="1">
        <f>MONTH(DimDate[[#This Row],[FullDate]])</f>
        <v>6</v>
      </c>
      <c r="D204" s="1">
        <f>YEAR(DimDate[[#This Row],[FullDate]])</f>
        <v>2025</v>
      </c>
    </row>
    <row r="205" spans="1:4" x14ac:dyDescent="0.35">
      <c r="A205" s="1">
        <v>45830</v>
      </c>
      <c r="B205" s="1" t="str">
        <f>TEXT(DimDate[[#This Row],[FullDate]],"MMMM")</f>
        <v>June</v>
      </c>
      <c r="C205" s="1">
        <f>MONTH(DimDate[[#This Row],[FullDate]])</f>
        <v>6</v>
      </c>
      <c r="D205" s="1">
        <f>YEAR(DimDate[[#This Row],[FullDate]])</f>
        <v>2025</v>
      </c>
    </row>
    <row r="206" spans="1:4" x14ac:dyDescent="0.35">
      <c r="A206" s="1">
        <v>45831</v>
      </c>
      <c r="B206" s="1" t="str">
        <f>TEXT(DimDate[[#This Row],[FullDate]],"MMMM")</f>
        <v>June</v>
      </c>
      <c r="C206" s="1">
        <f>MONTH(DimDate[[#This Row],[FullDate]])</f>
        <v>6</v>
      </c>
      <c r="D206" s="1">
        <f>YEAR(DimDate[[#This Row],[FullDate]])</f>
        <v>2025</v>
      </c>
    </row>
    <row r="207" spans="1:4" x14ac:dyDescent="0.35">
      <c r="A207" s="1">
        <v>45832</v>
      </c>
      <c r="B207" s="1" t="str">
        <f>TEXT(DimDate[[#This Row],[FullDate]],"MMMM")</f>
        <v>June</v>
      </c>
      <c r="C207" s="1">
        <f>MONTH(DimDate[[#This Row],[FullDate]])</f>
        <v>6</v>
      </c>
      <c r="D207" s="1">
        <f>YEAR(DimDate[[#This Row],[FullDate]])</f>
        <v>2025</v>
      </c>
    </row>
    <row r="208" spans="1:4" x14ac:dyDescent="0.35">
      <c r="A208" s="1">
        <v>45833</v>
      </c>
      <c r="B208" s="1" t="str">
        <f>TEXT(DimDate[[#This Row],[FullDate]],"MMMM")</f>
        <v>June</v>
      </c>
      <c r="C208" s="1">
        <f>MONTH(DimDate[[#This Row],[FullDate]])</f>
        <v>6</v>
      </c>
      <c r="D208" s="1">
        <f>YEAR(DimDate[[#This Row],[FullDate]])</f>
        <v>2025</v>
      </c>
    </row>
    <row r="209" spans="1:4" x14ac:dyDescent="0.35">
      <c r="A209" s="1">
        <v>45834</v>
      </c>
      <c r="B209" s="1" t="str">
        <f>TEXT(DimDate[[#This Row],[FullDate]],"MMMM")</f>
        <v>June</v>
      </c>
      <c r="C209" s="1">
        <f>MONTH(DimDate[[#This Row],[FullDate]])</f>
        <v>6</v>
      </c>
      <c r="D209" s="1">
        <f>YEAR(DimDate[[#This Row],[FullDate]])</f>
        <v>2025</v>
      </c>
    </row>
    <row r="210" spans="1:4" x14ac:dyDescent="0.35">
      <c r="A210" s="1">
        <v>45835</v>
      </c>
      <c r="B210" s="1" t="str">
        <f>TEXT(DimDate[[#This Row],[FullDate]],"MMMM")</f>
        <v>June</v>
      </c>
      <c r="C210" s="1">
        <f>MONTH(DimDate[[#This Row],[FullDate]])</f>
        <v>6</v>
      </c>
      <c r="D210" s="1">
        <f>YEAR(DimDate[[#This Row],[FullDate]])</f>
        <v>2025</v>
      </c>
    </row>
    <row r="211" spans="1:4" x14ac:dyDescent="0.35">
      <c r="A211" s="1">
        <v>45836</v>
      </c>
      <c r="B211" s="1" t="str">
        <f>TEXT(DimDate[[#This Row],[FullDate]],"MMMM")</f>
        <v>June</v>
      </c>
      <c r="C211" s="1">
        <f>MONTH(DimDate[[#This Row],[FullDate]])</f>
        <v>6</v>
      </c>
      <c r="D211" s="1">
        <f>YEAR(DimDate[[#This Row],[FullDate]])</f>
        <v>2025</v>
      </c>
    </row>
    <row r="212" spans="1:4" x14ac:dyDescent="0.35">
      <c r="A212" s="1">
        <v>45837</v>
      </c>
      <c r="B212" s="1" t="str">
        <f>TEXT(DimDate[[#This Row],[FullDate]],"MMMM")</f>
        <v>June</v>
      </c>
      <c r="C212" s="1">
        <f>MONTH(DimDate[[#This Row],[FullDate]])</f>
        <v>6</v>
      </c>
      <c r="D212" s="1">
        <f>YEAR(DimDate[[#This Row],[FullDate]])</f>
        <v>2025</v>
      </c>
    </row>
    <row r="213" spans="1:4" x14ac:dyDescent="0.35">
      <c r="A213" s="1">
        <v>45838</v>
      </c>
      <c r="B213" s="1" t="str">
        <f>TEXT(DimDate[[#This Row],[FullDate]],"MMMM")</f>
        <v>June</v>
      </c>
      <c r="C213" s="1">
        <f>MONTH(DimDate[[#This Row],[FullDate]])</f>
        <v>6</v>
      </c>
      <c r="D213" s="1">
        <f>YEAR(DimDate[[#This Row],[FullDate]])</f>
        <v>2025</v>
      </c>
    </row>
    <row r="214" spans="1:4" x14ac:dyDescent="0.35">
      <c r="A214" s="1"/>
    </row>
    <row r="215" spans="1:4" x14ac:dyDescent="0.35">
      <c r="A215" s="1"/>
    </row>
    <row r="216" spans="1:4" x14ac:dyDescent="0.35">
      <c r="A216" s="1"/>
    </row>
    <row r="217" spans="1:4" x14ac:dyDescent="0.35">
      <c r="A217" s="1"/>
    </row>
    <row r="218" spans="1:4" x14ac:dyDescent="0.35">
      <c r="A218" s="1"/>
    </row>
    <row r="219" spans="1:4" x14ac:dyDescent="0.35">
      <c r="A219" s="1"/>
    </row>
    <row r="220" spans="1:4" x14ac:dyDescent="0.35">
      <c r="A220" s="1"/>
    </row>
    <row r="221" spans="1:4" x14ac:dyDescent="0.35">
      <c r="A221" s="1"/>
    </row>
    <row r="222" spans="1:4" x14ac:dyDescent="0.35">
      <c r="A222" s="1"/>
    </row>
    <row r="223" spans="1:4" x14ac:dyDescent="0.35">
      <c r="A223" s="1"/>
    </row>
    <row r="224" spans="1:4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Interactions</vt:lpstr>
      <vt:lpstr>Campaigns</vt:lpstr>
      <vt:lpstr>Customers</vt:lpstr>
      <vt:lpstr>DimDate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2025-12-30T10:55:27Z</dcterms:created>
  <dcterms:modified xsi:type="dcterms:W3CDTF">2025-12-30T11:08:10Z</dcterms:modified>
</cp:coreProperties>
</file>